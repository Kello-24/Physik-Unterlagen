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johnbrunner/Downloads/"/>
    </mc:Choice>
  </mc:AlternateContent>
  <xr:revisionPtr revIDLastSave="0" documentId="8_{958B4809-AA5B-D940-B3D1-B05188742598}" xr6:coauthVersionLast="47" xr6:coauthVersionMax="47" xr10:uidLastSave="{00000000-0000-0000-0000-000000000000}"/>
  <bookViews>
    <workbookView xWindow="0" yWindow="600" windowWidth="23680" windowHeight="22240" xr2:uid="{00000000-000D-0000-FFFF-FFFF00000000}"/>
  </bookViews>
  <sheets>
    <sheet name="Stoffplan" sheetId="2" r:id="rId1"/>
    <sheet name="Praktikasammlung" sheetId="1" r:id="rId2"/>
    <sheet name="Praktika FS26" sheetId="3" r:id="rId3"/>
  </sheets>
  <definedNames>
    <definedName name="_xlnm.Print_Area" localSheetId="2">'Praktika FS26'!$A$1:$G$23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</calcChain>
</file>

<file path=xl/sharedStrings.xml><?xml version="1.0" encoding="utf-8"?>
<sst xmlns="http://schemas.openxmlformats.org/spreadsheetml/2006/main" count="533" uniqueCount="327">
  <si>
    <t>Stoffplan Physik KFR</t>
  </si>
  <si>
    <t>Grundlagen</t>
  </si>
  <si>
    <t>Bemerkung</t>
  </si>
  <si>
    <t>Jahr</t>
  </si>
  <si>
    <t>Semester</t>
  </si>
  <si>
    <t>(WS)</t>
  </si>
  <si>
    <t>Thema</t>
  </si>
  <si>
    <t>3. Klasse, 2. Semester (FS), 3 Wochenstunden</t>
  </si>
  <si>
    <t>2 (FS)</t>
  </si>
  <si>
    <t>(3)</t>
  </si>
  <si>
    <t>Einführung</t>
  </si>
  <si>
    <t>Mathematik in der Physik</t>
  </si>
  <si>
    <t>Optik</t>
  </si>
  <si>
    <t>Licht</t>
  </si>
  <si>
    <t>Schatten (inkl. Erde, Sonne, Mond)</t>
  </si>
  <si>
    <t>Reflexion</t>
  </si>
  <si>
    <t>Camera Obscura</t>
  </si>
  <si>
    <t>Gewölbte Spiegel</t>
  </si>
  <si>
    <t>Brechung</t>
  </si>
  <si>
    <t>Linsen</t>
  </si>
  <si>
    <t>Auge</t>
  </si>
  <si>
    <t>Optische Instrumente</t>
  </si>
  <si>
    <t>Mechanik</t>
  </si>
  <si>
    <t>s,t-Diagramm</t>
  </si>
  <si>
    <t>Geschwindigkeit, v,t-Diagramm</t>
  </si>
  <si>
    <t>4. Klasse, 1. Semester (HS), 2 Wochenstunden</t>
  </si>
  <si>
    <t>1 (HS)</t>
  </si>
  <si>
    <t>(2)</t>
  </si>
  <si>
    <t>Beschleunigung</t>
  </si>
  <si>
    <t>Bewegungsgleichungen</t>
  </si>
  <si>
    <t>Freier Fall</t>
  </si>
  <si>
    <t>Zusammengesetzte Bewegungen</t>
  </si>
  <si>
    <t>Waagrechter Wurf</t>
  </si>
  <si>
    <t>ohne schrägen Wurf</t>
  </si>
  <si>
    <t>Kräfte (Teil 1)</t>
  </si>
  <si>
    <t>Newtons Gesetze</t>
  </si>
  <si>
    <t>4. Klasse, 2. Semester (FS), 3 Wochenstunden</t>
  </si>
  <si>
    <t>Kräfte (Teil 2)</t>
  </si>
  <si>
    <t>Hydrostatik</t>
  </si>
  <si>
    <t>Auflagedruck</t>
  </si>
  <si>
    <t>Kolben- und Schweredruck</t>
  </si>
  <si>
    <t>Auftrieb</t>
  </si>
  <si>
    <t>Erhaltungssätze</t>
  </si>
  <si>
    <t>Arbeit</t>
  </si>
  <si>
    <t>Energie</t>
  </si>
  <si>
    <t>Potenzielle Energie</t>
  </si>
  <si>
    <t>Kinetische Energie</t>
  </si>
  <si>
    <t>Leistung</t>
  </si>
  <si>
    <t>Wirkungsgrad</t>
  </si>
  <si>
    <t>Kreisbewegung (inkl. Periode, Frequenz)</t>
  </si>
  <si>
    <t>5. Klasse, 1. Semester (HS), 2 Wochenstunden + 2 Stunden Praktika (alle 14 Tage)</t>
  </si>
  <si>
    <t>(2+1)</t>
  </si>
  <si>
    <t>Gravitationsgesetz</t>
  </si>
  <si>
    <t>Statik</t>
  </si>
  <si>
    <t>Drehmoment, Statik</t>
  </si>
  <si>
    <t>Kraftwandler</t>
  </si>
  <si>
    <t>Schwerpunkt</t>
  </si>
  <si>
    <t>Wärme</t>
  </si>
  <si>
    <t>Teilchenmodell , Temperatur, Wärmeausdehnung</t>
  </si>
  <si>
    <t>Wärmeleitung</t>
  </si>
  <si>
    <t>Gasgesetze, Zustandsänderungen</t>
  </si>
  <si>
    <t>Thermische Energie</t>
  </si>
  <si>
    <t>Phasenübergänge</t>
  </si>
  <si>
    <t>Elektrizität</t>
  </si>
  <si>
    <t>Elektrische Ladung</t>
  </si>
  <si>
    <t>Grundlagen für diejenigen, die nie wieder Physik haben (Basics)</t>
  </si>
  <si>
    <t>Coulombkraft</t>
  </si>
  <si>
    <t>Elektrische Spannung</t>
  </si>
  <si>
    <t>Elektrischer Strom</t>
  </si>
  <si>
    <t>EF für Sprachprofil und BC</t>
  </si>
  <si>
    <t>6. Klasse, 1. Semester (HS), 2 Wochenstunden (sie hatten gerade ein Semester ohne Physik)</t>
  </si>
  <si>
    <t>Schräger Wurf</t>
  </si>
  <si>
    <t>Impuls</t>
  </si>
  <si>
    <t>Drehimpuls, Kepler</t>
  </si>
  <si>
    <t>Dynamik</t>
  </si>
  <si>
    <t>Wärmetransport: Konvektion, Wärmeleitung, Wärmestrahlung</t>
  </si>
  <si>
    <t>Zustandsänderungen (Vorb. WKM)</t>
  </si>
  <si>
    <t>Wärmekraftmaschinen, thermische Kraftwerke</t>
  </si>
  <si>
    <t>Kältemaschinen und Wärmepumpen</t>
  </si>
  <si>
    <t>Elektrizität und Magnetismus</t>
  </si>
  <si>
    <t>Elektrisches Feld</t>
  </si>
  <si>
    <t>Kondensator</t>
  </si>
  <si>
    <t>Kirchhoffsche Gesetze</t>
  </si>
  <si>
    <t>Elektrischer Widerstand</t>
  </si>
  <si>
    <t>Elektrische Leistung</t>
  </si>
  <si>
    <t>Magnetfeld</t>
  </si>
  <si>
    <t>Magnetische Wirkung des Stroms</t>
  </si>
  <si>
    <t>Lorentzkraft</t>
  </si>
  <si>
    <t>Elektromotor</t>
  </si>
  <si>
    <t>6. Klasse, 2. Semester (FS) verkürzt, 2 Wochenstunden</t>
  </si>
  <si>
    <t>Induktion</t>
  </si>
  <si>
    <t>Generator und Transformator</t>
  </si>
  <si>
    <t>Schwingungen und Wellen</t>
  </si>
  <si>
    <t>Harmonische Schwingungen</t>
  </si>
  <si>
    <t>Energie in Schwingungssystemen</t>
  </si>
  <si>
    <t>Erzwungene Schwingungen</t>
  </si>
  <si>
    <t>Wellen, Wellenausbreitung (inkl. Farben)</t>
  </si>
  <si>
    <t>Energietransport in Wellen</t>
  </si>
  <si>
    <t>Wellenüberlagerung</t>
  </si>
  <si>
    <t>PAM</t>
  </si>
  <si>
    <t>5. Klasse, 2. Semester (FS), 3 Wochenstunden + 2 Stunden Praktika (alle 14 Tage)</t>
  </si>
  <si>
    <t>Zustandsänderungen</t>
  </si>
  <si>
    <t>Zweiter Hauptsatz der Thermodynamik</t>
  </si>
  <si>
    <t>baut auf 5.1 E-Lehre auf</t>
  </si>
  <si>
    <t>6. Klasse, 1. Semester (HS), 2 Wochenstunden + 2 Stunden Praktika (verflochten)</t>
  </si>
  <si>
    <t>Tanja</t>
  </si>
  <si>
    <t>Wellen, Wellenausbreitung</t>
  </si>
  <si>
    <t>inkl. Farben</t>
  </si>
  <si>
    <t>Doppler-Effekt und Überschall</t>
  </si>
  <si>
    <t>Stehende Wellen</t>
  </si>
  <si>
    <t>Harmonische Zerlegung und Wellenpakete</t>
  </si>
  <si>
    <t>Wellenoptik</t>
  </si>
  <si>
    <t>Fermat'sches Prinzip</t>
  </si>
  <si>
    <t>Young's Doppelspaltversuch</t>
  </si>
  <si>
    <t>Elektromagentische Wellen</t>
  </si>
  <si>
    <t>Interferenz an dünnen Schichten</t>
  </si>
  <si>
    <t>Beugung und Interferenz, Spalt/Gitter</t>
  </si>
  <si>
    <t>Auflösungsgrenze optischer Geräte</t>
  </si>
  <si>
    <t>Polarisierung</t>
  </si>
  <si>
    <t>ev. Streuung</t>
  </si>
  <si>
    <t>Wellen und Teilchen</t>
  </si>
  <si>
    <t>Schwarzkörperstrahlung, Planck'sches Wirkungsquantum</t>
  </si>
  <si>
    <t>Photoelektrischer Effekt</t>
  </si>
  <si>
    <t>Welle-Teilchen-Dualismus</t>
  </si>
  <si>
    <t>Impuls eines Photons</t>
  </si>
  <si>
    <t>De Broglie Wellenlänge</t>
  </si>
  <si>
    <t>Quantenmechanik</t>
  </si>
  <si>
    <t>Quantenobjekte: Wellenfunktion (Konzept), Wahrscheinlichkeit</t>
  </si>
  <si>
    <t>Messung, Kollaps der Wellenfunktion</t>
  </si>
  <si>
    <t>Interferenzmuster durch einzelne Teilchen</t>
  </si>
  <si>
    <t>Heisenberg'sche Unschärferelation</t>
  </si>
  <si>
    <t>Potentialtopf (qualitativ), Tunneleffekt, Tunnelmikroskop</t>
  </si>
  <si>
    <t>Quantenmechanischer Drehimpuls</t>
  </si>
  <si>
    <t>Laser, Holografie</t>
  </si>
  <si>
    <t>6. Klasse, 2. Semester (FS) verkürzt, 4 Wochenstunden</t>
  </si>
  <si>
    <t>Spezielle Relativitätstheorie</t>
  </si>
  <si>
    <t>Prinzip der Relativität</t>
  </si>
  <si>
    <t>David</t>
  </si>
  <si>
    <t>Praktikum: Elektronik?</t>
  </si>
  <si>
    <t>im HS 2027 Beginn mit Schwingungen und Wellen, da David Herbstferien ´26 bis Sportferien ´27 und Tanja im FS 2027 im Urlaub ist</t>
  </si>
  <si>
    <t>Galilei-Transformation, Einstein'sche Postulate, Lorentztransformation</t>
  </si>
  <si>
    <t>Michelson-Morley-Experiment</t>
  </si>
  <si>
    <t>Zeitdilatation und Längenkontraktion</t>
  </si>
  <si>
    <t>Relativistischer Impuls, Äquivalenz von Masse und Energie, kin. Energie, Vierervektoren</t>
  </si>
  <si>
    <t>Addition von Geschwindigkeiten</t>
  </si>
  <si>
    <t>Minkovski-Diagramme</t>
  </si>
  <si>
    <t>Gleichzeitigkeit</t>
  </si>
  <si>
    <t>Kern- und Teilchenphysik</t>
  </si>
  <si>
    <t>Kernaufbau, starke Kraft</t>
  </si>
  <si>
    <t>Bindungsenergie, Massendefekt</t>
  </si>
  <si>
    <t>Radioaktivität, Zerfallsreihen</t>
  </si>
  <si>
    <t>Kernspaltung</t>
  </si>
  <si>
    <t>(Rutherford)</t>
  </si>
  <si>
    <t>(Linienspektren)</t>
  </si>
  <si>
    <t>Spektroskopie, Bohrmodell, Rydberg-Formel, Einsteinkoeffizienten</t>
  </si>
  <si>
    <t>(Pauli-Prinzip, Periodensystem der Elemente)</t>
  </si>
  <si>
    <t>Historische Betrachtungen, Standardmodell</t>
  </si>
  <si>
    <t xml:space="preserve">Anwendungen relativistischer Kinematik </t>
  </si>
  <si>
    <t>baut auf SRT auf</t>
  </si>
  <si>
    <t>Neutrinos</t>
  </si>
  <si>
    <t>Beschleuniger und Detektoren</t>
  </si>
  <si>
    <t>Astrophysik</t>
  </si>
  <si>
    <t>Distanz, Parallaxe, Intensität</t>
  </si>
  <si>
    <t xml:space="preserve">Fusionsreaktion in Sternen, </t>
  </si>
  <si>
    <t>Gleichgewicht Strahlungsdruck/Gravitation</t>
  </si>
  <si>
    <t>Entstehung und Sterben von Sternen</t>
  </si>
  <si>
    <t>Fehlende Masse in Galaxien</t>
  </si>
  <si>
    <t>Schwarze Löcher, Akkretionsscheibe</t>
  </si>
  <si>
    <t>Kosmologie, Hubble-Gesetz, Urknall</t>
  </si>
  <si>
    <t>Matura</t>
  </si>
  <si>
    <t>Praktika</t>
  </si>
  <si>
    <t>Nr.</t>
  </si>
  <si>
    <t>Grundlagenfach: 5. Klasse, 1. Semester (HS), 2 Stunden alle 14 Tage, kombiniert mit der Chemie</t>
  </si>
  <si>
    <t>21 Wochen: ca. 10 Praktika</t>
  </si>
  <si>
    <t>Unterlagen</t>
  </si>
  <si>
    <t>Zuständig</t>
  </si>
  <si>
    <t>Änderungen</t>
  </si>
  <si>
    <t xml:space="preserve">Anzahl Doppellektionen </t>
  </si>
  <si>
    <t>09</t>
  </si>
  <si>
    <t xml:space="preserve">Reflexion und Brechung </t>
  </si>
  <si>
    <t>bestehend</t>
  </si>
  <si>
    <t>Nick</t>
  </si>
  <si>
    <t>Fehlerbetrachtung</t>
  </si>
  <si>
    <t>08</t>
  </si>
  <si>
    <t>Linsenabbildung</t>
  </si>
  <si>
    <t>10</t>
  </si>
  <si>
    <t>Schwingungen</t>
  </si>
  <si>
    <t>Fadenpendel mit Excelauswertung</t>
  </si>
  <si>
    <t>Giorgio</t>
  </si>
  <si>
    <t>max. 2</t>
  </si>
  <si>
    <t>02</t>
  </si>
  <si>
    <t>Joules Kalorimeter</t>
  </si>
  <si>
    <t>01</t>
  </si>
  <si>
    <t>Spezifische Wärmekapazität eines Metalls</t>
  </si>
  <si>
    <t>11</t>
  </si>
  <si>
    <t>Bestimmung der spez. Schmelzwärme</t>
  </si>
  <si>
    <t>03</t>
  </si>
  <si>
    <t>Bestimmung der spez. Verdampfungswärme</t>
  </si>
  <si>
    <t>Elektronikprojekt</t>
  </si>
  <si>
    <t>Alarmanlage</t>
  </si>
  <si>
    <t>max. 4</t>
  </si>
  <si>
    <t>06</t>
  </si>
  <si>
    <t>Elektrische Stromkreise</t>
  </si>
  <si>
    <t>07</t>
  </si>
  <si>
    <t>Energie und Leistung</t>
  </si>
  <si>
    <t>KEN</t>
  </si>
  <si>
    <t>PAM: 5. Klasse, 2. Semester (FS), 2 Stunden alle 14 Tage (3+1)</t>
  </si>
  <si>
    <t>18 Wochen: 10 Praktika</t>
  </si>
  <si>
    <t>Zirkularpraktikum?</t>
  </si>
  <si>
    <t>Anzahl Doppellektion</t>
  </si>
  <si>
    <t>12</t>
  </si>
  <si>
    <t>Wurfvorrichtung mit Gummi</t>
  </si>
  <si>
    <t>Federkonstante und schräger Wurf</t>
  </si>
  <si>
    <t>DAVID</t>
  </si>
  <si>
    <t>WÄRME</t>
  </si>
  <si>
    <t>Schmelzwärme</t>
  </si>
  <si>
    <t>04</t>
  </si>
  <si>
    <t>Mechanik, Erhaltungssätze</t>
  </si>
  <si>
    <t>Videoanalyse einer Bewegung</t>
  </si>
  <si>
    <t>16</t>
  </si>
  <si>
    <t>Wellen</t>
  </si>
  <si>
    <t>Messung der Schallgeschwindigkeit</t>
  </si>
  <si>
    <t>Messung der Schallgeschwindigkeit (PVC-Rohr, verschiedene Gase, Einfluss Temperatur) + Video/Filmklappe</t>
  </si>
  <si>
    <t>15</t>
  </si>
  <si>
    <t>Absoluter Nullpunkt</t>
  </si>
  <si>
    <t>Absoluter Nullpunkt (Ideales Gas: Variation von Druck/Temperatur bei konstantem Volumen) (KEN)</t>
  </si>
  <si>
    <t>17</t>
  </si>
  <si>
    <t>Fluiddynamik</t>
  </si>
  <si>
    <t>Strömungswiderstand</t>
  </si>
  <si>
    <t xml:space="preserve">Strömungswiderstand: Windkanal (diverse Profile, Messungen) + Papierkegel (diverse Winkel, Fläche, Masse, e.v. Handy-Video) </t>
  </si>
  <si>
    <t>14</t>
  </si>
  <si>
    <t>Radioaktivität</t>
  </si>
  <si>
    <t>Bestimmung der Halbwertszeit</t>
  </si>
  <si>
    <t>Bestimmung der Halbwertszeit (R2?), Halbwertsdicke</t>
  </si>
  <si>
    <t>13</t>
  </si>
  <si>
    <t>Messung U-I-Kennlinien</t>
  </si>
  <si>
    <t>Messung U-I-Kennlinien (Ohm'scher Widerstand, Heissleiter, Kaltleiter, Diode, Glimmlampe)</t>
  </si>
  <si>
    <t>Elektrizitätslehre</t>
  </si>
  <si>
    <t>Leitungsschutzschalter-Prinzip, ev. FI-Schalter (Strom im Haushalt)</t>
  </si>
  <si>
    <t>Farbenlehre</t>
  </si>
  <si>
    <t>Additive und Subtraktive Farbmischung (RGB, CMY) (falls noch nicht in der Chemie gemacht)</t>
  </si>
  <si>
    <t>Adrian</t>
  </si>
  <si>
    <t>Farbenlehre (Biologie trifft Falschfarbenbilder)</t>
  </si>
  <si>
    <t>Wie eine Biene eine Blume sieht. Falschfarbenbilder mit UV-A Aufnahmen von Blumen mit geeigneter Software herstellen</t>
  </si>
  <si>
    <t>Gekoppelte Schwingungen</t>
  </si>
  <si>
    <t>Wilberforce Pendel (Drehende Masse an Feder aufgehängt)</t>
  </si>
  <si>
    <t>Aräometer (KEN) (Anfang 5.1, da Hydrostatik in 4.2)</t>
  </si>
  <si>
    <t>ev.</t>
  </si>
  <si>
    <t>Handy in einer fallenden Schuhschachtel (freier Fall)</t>
  </si>
  <si>
    <t>Flying Pig: Als Videoanalyse-Wettbewerb</t>
  </si>
  <si>
    <t>?Nick?</t>
  </si>
  <si>
    <t>Optimale Füllung einer Luftrakete mit Wasser (Impuls vs. Masse), idealerweise mit Sensor für Höhenmessung</t>
  </si>
  <si>
    <t>Trägheitsmoment rotierender Körper</t>
  </si>
  <si>
    <t>Interferenz / Beugung am optischen Gitter / Beugung an einem Hindernis (z.B. Haar)</t>
  </si>
  <si>
    <t>halb bestehend</t>
  </si>
  <si>
    <t>wie O4</t>
  </si>
  <si>
    <t>Akustik: Musikalische Töne vs. Rauschen. Wellenüberlagerung (Fourier), Grundfrequenz, Obertöne, mit Handys messen</t>
  </si>
  <si>
    <t>Wärmestrahlung, IR-Strahlung, Spiegelung, Brechung, gute Kamera? (siehe auch KEN)</t>
  </si>
  <si>
    <t>Isothermische und adiabatische Zustandsänderungen, ideales Gas (KEN)</t>
  </si>
  <si>
    <t>Polarisation (O5)</t>
  </si>
  <si>
    <t>Beugung am Gitter (O4)</t>
  </si>
  <si>
    <t>PAM: 6. Klasse, 1. Semester (HS), 2 Stunden pro Woche, verflochten mit dem Unterricht (2+2)</t>
  </si>
  <si>
    <t>Teilweise Verflechung mit Unterricht: behandelte Themen beachten</t>
  </si>
  <si>
    <t>Anzahl Doppellektionen</t>
  </si>
  <si>
    <t>05</t>
  </si>
  <si>
    <t>Bau eines Elektromotors</t>
  </si>
  <si>
    <t>Bragg-Streuung mit Mikrowellen?</t>
  </si>
  <si>
    <t>Auflösungsvermögen, zwei Quellen elektromagn. Strahlung?</t>
  </si>
  <si>
    <t>Lautsprecher bauen (als Optimierungsaufgabe, z.B. schwingende Masse, Anz. Windungen etc.)</t>
  </si>
  <si>
    <t xml:space="preserve">Hall-Sonde bauen? z.B. Messungen am Oersted-Versuch </t>
  </si>
  <si>
    <t>21 Wochen: ca. 20 Praktika</t>
  </si>
  <si>
    <t>Elektronikschaltung digital, Logikgatter (AND, OR, NOT etc.)</t>
  </si>
  <si>
    <t>Zirkularpraktikum</t>
  </si>
  <si>
    <t>Messung der spezifischen Ladung des Elektrons e/m mit dem Fadenstrahlrohr (KEN)</t>
  </si>
  <si>
    <t>ZP (6.1)</t>
  </si>
  <si>
    <t>Millikan-Versuch (KEN)</t>
  </si>
  <si>
    <t>Elektronikschaltung analog, z.B. Verstärker</t>
  </si>
  <si>
    <t>Elektronik</t>
  </si>
  <si>
    <t>Lichtintensitätsmesser mit LED-Balkenanzeige (Basis Arduino-KEN, Dämmerungsschalter)</t>
  </si>
  <si>
    <t>Elektronische Schaltung zur Messung einer CHEMISCHEN GRÖSSE in Zusammenarbeit mit Chemie (z.B. Salzgehalt einer Lösung, Oechslemeter, Brechung etc.), möglicherweise als Projektarbeit, 2 Doppellektionen</t>
  </si>
  <si>
    <t>grösseres Praktikum</t>
  </si>
  <si>
    <t>Biegen von Stäben (M1), aufgepeppt mit Integralrechnung</t>
  </si>
  <si>
    <t>Schaltungen von Widerständen und Kondensatoren (Diff.-Gl.)</t>
  </si>
  <si>
    <t>bevorzugt</t>
  </si>
  <si>
    <t xml:space="preserve">Mechanik </t>
  </si>
  <si>
    <t>Senkrechter Wurf nach oben: Videoaufnahme und Analyse (Vergleich mit Theorie)</t>
  </si>
  <si>
    <t>In die Kurve legen (Neigungswinkel berechnen &amp; messen beim Rennen in einem Kreis)</t>
  </si>
  <si>
    <t>Handy + Linse = Mikroskop</t>
  </si>
  <si>
    <t>ev. Gewässerpraktikum</t>
  </si>
  <si>
    <t>Menschliches Auge, menschliche Sicht, Sehkorrektur etc.</t>
  </si>
  <si>
    <t xml:space="preserve">Optik </t>
  </si>
  <si>
    <t>Kepler- oder Galilei-Fernrohr bauen und auswerten (falls noch nicht im Unterricht gemacht)</t>
  </si>
  <si>
    <t>Schallgeschwindigkeit messen (2 Methoden: mit 2 Handys oder mit Videokamera und Filmklappe)</t>
  </si>
  <si>
    <t>Pendel (Messungen z.B. mit dem Handy)</t>
  </si>
  <si>
    <t>Kraftplatte, menschlicher Gang, Abspringen etc.</t>
  </si>
  <si>
    <t>Bestimmung der Erdbeschleunigung g mit einem Fadenpendel (KEN)</t>
  </si>
  <si>
    <t>Freier und Altwood'scher Fall, Bestimmung der Erdbeschleunigung g (KEN)</t>
  </si>
  <si>
    <t>Experimente mit Druck, ev. Vakuum</t>
  </si>
  <si>
    <t>Etwas mit Blutkreislauf (Röhrenquerschnitte, Bernoulli etc.)</t>
  </si>
  <si>
    <t>Trägheitsmoment in der Statik, inkl. Integralrechnungen</t>
  </si>
  <si>
    <t>Planung Praktika im FS26</t>
  </si>
  <si>
    <t>KW</t>
  </si>
  <si>
    <t>FS 26</t>
  </si>
  <si>
    <t>Mo L9+L10 | David | 5df-1</t>
  </si>
  <si>
    <t>Mo L9+L10 | David | 5df-2</t>
  </si>
  <si>
    <t>Mi L2+L3 | Tanja | 5ce-1</t>
  </si>
  <si>
    <t>Mi L2+L3 | Tanja | 5ce-2</t>
  </si>
  <si>
    <t>11BruD- Schmelzwärme bestimmen</t>
  </si>
  <si>
    <t>(frei)</t>
  </si>
  <si>
    <r>
      <t>Angleichung der Stoffinhalte (</t>
    </r>
    <r>
      <rPr>
        <b/>
        <sz val="12"/>
        <color rgb="FFFF0000"/>
        <rFont val="Aptos Narrow"/>
        <family val="2"/>
      </rPr>
      <t>alle</t>
    </r>
    <r>
      <rPr>
        <b/>
        <sz val="12"/>
        <color rgb="FF000000"/>
        <rFont val="Aptos Narrow"/>
        <family val="2"/>
      </rPr>
      <t>)</t>
    </r>
  </si>
  <si>
    <t>(ZAP)</t>
  </si>
  <si>
    <t>frei</t>
  </si>
  <si>
    <t>12BruD - Federkonstante und horizontaler Wurf</t>
  </si>
  <si>
    <t>(pädagogisches Kolloquium) - frei</t>
  </si>
  <si>
    <t>Angleichung der Stoffinhalte (alle)</t>
  </si>
  <si>
    <t>13BruD - Messung U-I-Kennlinien</t>
  </si>
  <si>
    <t>(SPF-Sonderwoche)</t>
  </si>
  <si>
    <t>(Frühlingsferien)</t>
  </si>
  <si>
    <t>15RooT - Absoluter Nullpunkt</t>
  </si>
  <si>
    <t>(Pfingstmontag)</t>
  </si>
  <si>
    <t>Angleichung der Stoffinhalte (alle, LSD)</t>
  </si>
  <si>
    <t>16BruD - Messung der Schallgeschwindigkeit</t>
  </si>
  <si>
    <t>17RooT - Strömungswiderstand</t>
  </si>
  <si>
    <t>04RooT - Videoanalyse einer Bewegung</t>
  </si>
  <si>
    <t>(Sommerferien)</t>
  </si>
  <si>
    <t>Sommerferien</t>
  </si>
  <si>
    <t>14RooT - Bestimmung der Halbwertszeit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</si>
</sst>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1"/>
      <color rgb="FF000000"/>
      <name val="Calibri"/>
      <family val="2"/>
    </font>
    <font>
      <sz val="11"/>
      <color theme="8" tint="-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</font>
    <font>
      <strike/>
      <sz val="11"/>
      <color theme="8" tint="-0.499984740745262"/>
      <name val="Calibri"/>
      <family val="2"/>
      <scheme val="minor"/>
    </font>
    <font>
      <b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rgb="FFFF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F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1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horizontal="left" vertical="top" wrapText="1"/>
    </xf>
    <xf numFmtId="0" fontId="1" fillId="5" borderId="0" xfId="0" applyFont="1" applyFill="1" applyAlignment="1">
      <alignment horizontal="left" vertical="top"/>
    </xf>
    <xf numFmtId="0" fontId="1" fillId="5" borderId="0" xfId="0" applyFont="1" applyFill="1" applyAlignment="1">
      <alignment horizontal="center" vertical="top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vertical="top"/>
    </xf>
    <xf numFmtId="0" fontId="2" fillId="0" borderId="0" xfId="0" applyFont="1"/>
    <xf numFmtId="0" fontId="1" fillId="5" borderId="0" xfId="0" applyFont="1" applyFill="1" applyAlignment="1">
      <alignment vertical="top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0" fillId="7" borderId="0" xfId="0" applyFill="1" applyAlignment="1">
      <alignment horizontal="left"/>
    </xf>
    <xf numFmtId="0" fontId="0" fillId="7" borderId="0" xfId="0" applyFill="1"/>
    <xf numFmtId="0" fontId="6" fillId="8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left" vertical="top"/>
    </xf>
    <xf numFmtId="0" fontId="0" fillId="10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11" borderId="0" xfId="0" applyFill="1" applyAlignment="1">
      <alignment horizontal="left" vertical="top"/>
    </xf>
    <xf numFmtId="0" fontId="0" fillId="11" borderId="0" xfId="0" applyFill="1" applyAlignment="1">
      <alignment horizontal="left" vertical="top" wrapText="1"/>
    </xf>
    <xf numFmtId="0" fontId="0" fillId="12" borderId="0" xfId="0" applyFill="1" applyAlignment="1">
      <alignment horizontal="left" vertical="top"/>
    </xf>
    <xf numFmtId="0" fontId="0" fillId="12" borderId="0" xfId="0" applyFill="1" applyAlignment="1">
      <alignment horizontal="left" vertical="top" wrapText="1"/>
    </xf>
    <xf numFmtId="0" fontId="7" fillId="0" borderId="0" xfId="0" applyFont="1" applyAlignment="1">
      <alignment vertical="top"/>
    </xf>
    <xf numFmtId="0" fontId="0" fillId="13" borderId="0" xfId="0" applyFill="1"/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top"/>
    </xf>
    <xf numFmtId="0" fontId="0" fillId="0" borderId="0" xfId="0" quotePrefix="1" applyAlignment="1">
      <alignment horizontal="center"/>
    </xf>
    <xf numFmtId="0" fontId="0" fillId="13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0B3A-8A14-4762-BB59-DAB0837C5AA6}">
  <dimension ref="A1:V276"/>
  <sheetViews>
    <sheetView tabSelected="1" topLeftCell="A118" zoomScale="91" workbookViewId="0">
      <selection activeCell="E123" sqref="E123"/>
    </sheetView>
  </sheetViews>
  <sheetFormatPr baseColWidth="10" defaultColWidth="9.1640625" defaultRowHeight="15" x14ac:dyDescent="0.2"/>
  <cols>
    <col min="1" max="1" width="3.83203125" style="4" customWidth="1"/>
    <col min="2" max="2" width="9.1640625" style="4"/>
    <col min="3" max="3" width="5.5" style="4" customWidth="1"/>
    <col min="4" max="4" width="30.83203125" style="5" customWidth="1"/>
    <col min="5" max="5" width="46.83203125" style="6" customWidth="1"/>
    <col min="6" max="6" width="14.5" style="7" customWidth="1"/>
    <col min="7" max="7" width="26.83203125" style="7" customWidth="1"/>
    <col min="8" max="8" width="56.5" style="7" customWidth="1"/>
    <col min="9" max="16384" width="9.1640625" style="7"/>
  </cols>
  <sheetData>
    <row r="1" spans="1:7" ht="24" x14ac:dyDescent="0.2">
      <c r="A1" s="3" t="s">
        <v>0</v>
      </c>
      <c r="C1" s="3"/>
      <c r="G1" s="5"/>
    </row>
    <row r="2" spans="1:7" x14ac:dyDescent="0.2">
      <c r="G2" s="5"/>
    </row>
    <row r="3" spans="1:7" s="12" customFormat="1" ht="21" x14ac:dyDescent="0.2">
      <c r="A3" s="8" t="s">
        <v>1</v>
      </c>
      <c r="B3" s="9"/>
      <c r="C3" s="8"/>
      <c r="D3" s="10"/>
      <c r="E3" s="11"/>
      <c r="F3" s="12" t="s">
        <v>2</v>
      </c>
      <c r="G3" s="10"/>
    </row>
    <row r="4" spans="1:7" x14ac:dyDescent="0.2">
      <c r="A4" s="13" t="s">
        <v>3</v>
      </c>
      <c r="B4" s="13" t="s">
        <v>4</v>
      </c>
      <c r="C4" s="13" t="s">
        <v>5</v>
      </c>
      <c r="D4" s="14" t="s">
        <v>6</v>
      </c>
      <c r="G4" s="14"/>
    </row>
    <row r="5" spans="1:7" s="18" customFormat="1" x14ac:dyDescent="0.2">
      <c r="A5" s="15" t="s">
        <v>7</v>
      </c>
      <c r="B5" s="16"/>
      <c r="C5" s="16"/>
      <c r="D5" s="15"/>
      <c r="E5" s="17"/>
      <c r="G5" s="15"/>
    </row>
    <row r="6" spans="1:7" ht="16" x14ac:dyDescent="0.2">
      <c r="A6" s="4">
        <v>3</v>
      </c>
      <c r="B6" s="4" t="s">
        <v>8</v>
      </c>
      <c r="C6" s="19" t="s">
        <v>9</v>
      </c>
      <c r="D6" s="5" t="s">
        <v>10</v>
      </c>
      <c r="E6" s="6" t="s">
        <v>11</v>
      </c>
      <c r="G6" s="5"/>
    </row>
    <row r="7" spans="1:7" x14ac:dyDescent="0.2">
      <c r="C7" s="19"/>
      <c r="G7" s="5"/>
    </row>
    <row r="8" spans="1:7" ht="16" x14ac:dyDescent="0.2">
      <c r="D8" s="5" t="s">
        <v>12</v>
      </c>
      <c r="E8" s="6" t="s">
        <v>13</v>
      </c>
      <c r="G8" s="5"/>
    </row>
    <row r="9" spans="1:7" ht="16" x14ac:dyDescent="0.2">
      <c r="E9" s="6" t="s">
        <v>14</v>
      </c>
      <c r="G9" s="5"/>
    </row>
    <row r="10" spans="1:7" ht="16" x14ac:dyDescent="0.2">
      <c r="E10" s="6" t="s">
        <v>15</v>
      </c>
      <c r="G10" s="5"/>
    </row>
    <row r="11" spans="1:7" ht="16" x14ac:dyDescent="0.2">
      <c r="E11" s="6" t="s">
        <v>16</v>
      </c>
      <c r="G11" s="5"/>
    </row>
    <row r="12" spans="1:7" ht="16" x14ac:dyDescent="0.2">
      <c r="E12" s="6" t="s">
        <v>17</v>
      </c>
      <c r="G12" s="5"/>
    </row>
    <row r="13" spans="1:7" ht="16" x14ac:dyDescent="0.2">
      <c r="E13" s="6" t="s">
        <v>18</v>
      </c>
      <c r="G13" s="5"/>
    </row>
    <row r="14" spans="1:7" ht="16" x14ac:dyDescent="0.2">
      <c r="E14" s="6" t="s">
        <v>19</v>
      </c>
      <c r="G14" s="5"/>
    </row>
    <row r="15" spans="1:7" ht="16" x14ac:dyDescent="0.2">
      <c r="E15" s="6" t="s">
        <v>20</v>
      </c>
      <c r="G15" s="5"/>
    </row>
    <row r="16" spans="1:7" ht="16" x14ac:dyDescent="0.2">
      <c r="E16" s="6" t="s">
        <v>21</v>
      </c>
      <c r="G16" s="5"/>
    </row>
    <row r="17" spans="1:7" x14ac:dyDescent="0.2">
      <c r="G17" s="5"/>
    </row>
    <row r="18" spans="1:7" ht="16" x14ac:dyDescent="0.2">
      <c r="D18" s="5" t="s">
        <v>22</v>
      </c>
      <c r="E18" s="6" t="s">
        <v>23</v>
      </c>
      <c r="G18" s="5"/>
    </row>
    <row r="19" spans="1:7" ht="16" x14ac:dyDescent="0.2">
      <c r="E19" s="6" t="s">
        <v>24</v>
      </c>
      <c r="G19" s="5"/>
    </row>
    <row r="20" spans="1:7" x14ac:dyDescent="0.2">
      <c r="G20" s="5"/>
    </row>
    <row r="21" spans="1:7" x14ac:dyDescent="0.2">
      <c r="G21" s="5"/>
    </row>
    <row r="22" spans="1:7" x14ac:dyDescent="0.2">
      <c r="G22" s="5"/>
    </row>
    <row r="23" spans="1:7" x14ac:dyDescent="0.2">
      <c r="G23" s="5"/>
    </row>
    <row r="24" spans="1:7" s="18" customFormat="1" x14ac:dyDescent="0.2">
      <c r="A24" s="15" t="s">
        <v>25</v>
      </c>
      <c r="B24" s="16"/>
      <c r="C24" s="16"/>
      <c r="D24" s="15"/>
      <c r="E24" s="17"/>
      <c r="G24" s="15"/>
    </row>
    <row r="25" spans="1:7" ht="16" x14ac:dyDescent="0.2">
      <c r="A25" s="4">
        <v>4</v>
      </c>
      <c r="B25" s="4" t="s">
        <v>26</v>
      </c>
      <c r="C25" s="19" t="s">
        <v>27</v>
      </c>
      <c r="D25" s="5" t="s">
        <v>22</v>
      </c>
      <c r="E25" s="6" t="s">
        <v>28</v>
      </c>
      <c r="G25" s="5"/>
    </row>
    <row r="26" spans="1:7" ht="16" x14ac:dyDescent="0.2">
      <c r="E26" s="6" t="s">
        <v>29</v>
      </c>
      <c r="G26" s="5"/>
    </row>
    <row r="27" spans="1:7" ht="16" x14ac:dyDescent="0.2">
      <c r="E27" s="6" t="s">
        <v>30</v>
      </c>
      <c r="G27" s="5"/>
    </row>
    <row r="28" spans="1:7" ht="16" x14ac:dyDescent="0.2">
      <c r="E28" s="6" t="s">
        <v>31</v>
      </c>
      <c r="G28" s="5"/>
    </row>
    <row r="29" spans="1:7" ht="16" x14ac:dyDescent="0.2">
      <c r="E29" s="6" t="s">
        <v>32</v>
      </c>
      <c r="F29" s="7" t="s">
        <v>33</v>
      </c>
      <c r="G29" s="5"/>
    </row>
    <row r="30" spans="1:7" ht="16" x14ac:dyDescent="0.2">
      <c r="E30" s="6" t="s">
        <v>34</v>
      </c>
      <c r="G30" s="5"/>
    </row>
    <row r="31" spans="1:7" ht="16" x14ac:dyDescent="0.2">
      <c r="E31" s="6" t="s">
        <v>35</v>
      </c>
      <c r="G31" s="5"/>
    </row>
    <row r="32" spans="1:7" x14ac:dyDescent="0.2">
      <c r="G32" s="5"/>
    </row>
    <row r="33" spans="1:7" x14ac:dyDescent="0.2">
      <c r="G33" s="5"/>
    </row>
    <row r="34" spans="1:7" s="18" customFormat="1" x14ac:dyDescent="0.2">
      <c r="A34" s="15" t="s">
        <v>36</v>
      </c>
      <c r="B34" s="16"/>
      <c r="C34" s="16"/>
      <c r="D34" s="15"/>
      <c r="E34" s="17"/>
      <c r="G34" s="15"/>
    </row>
    <row r="35" spans="1:7" ht="16" x14ac:dyDescent="0.2">
      <c r="A35" s="4">
        <v>4</v>
      </c>
      <c r="B35" s="4" t="s">
        <v>8</v>
      </c>
      <c r="C35" s="19" t="s">
        <v>9</v>
      </c>
      <c r="D35" s="5" t="s">
        <v>22</v>
      </c>
      <c r="E35" s="6" t="s">
        <v>37</v>
      </c>
      <c r="G35" s="5"/>
    </row>
    <row r="36" spans="1:7" x14ac:dyDescent="0.2">
      <c r="C36" s="19"/>
      <c r="G36" s="5"/>
    </row>
    <row r="37" spans="1:7" ht="16" x14ac:dyDescent="0.2">
      <c r="C37" s="19"/>
      <c r="D37" s="5" t="s">
        <v>38</v>
      </c>
      <c r="E37" s="22" t="s">
        <v>39</v>
      </c>
      <c r="G37" s="5"/>
    </row>
    <row r="38" spans="1:7" ht="16" x14ac:dyDescent="0.2">
      <c r="C38" s="19"/>
      <c r="E38" s="22" t="s">
        <v>40</v>
      </c>
      <c r="G38" s="5"/>
    </row>
    <row r="39" spans="1:7" ht="16" x14ac:dyDescent="0.2">
      <c r="C39" s="19"/>
      <c r="E39" s="22" t="s">
        <v>41</v>
      </c>
      <c r="G39" s="5"/>
    </row>
    <row r="40" spans="1:7" x14ac:dyDescent="0.2">
      <c r="C40" s="19"/>
      <c r="G40" s="5"/>
    </row>
    <row r="41" spans="1:7" ht="16" x14ac:dyDescent="0.2">
      <c r="D41" s="5" t="s">
        <v>42</v>
      </c>
      <c r="E41" s="20" t="s">
        <v>43</v>
      </c>
      <c r="G41" s="5"/>
    </row>
    <row r="42" spans="1:7" ht="16" x14ac:dyDescent="0.2">
      <c r="E42" s="20" t="s">
        <v>44</v>
      </c>
      <c r="G42" s="5"/>
    </row>
    <row r="43" spans="1:7" ht="16" x14ac:dyDescent="0.2">
      <c r="E43" s="20" t="s">
        <v>45</v>
      </c>
      <c r="G43" s="5"/>
    </row>
    <row r="44" spans="1:7" ht="16" x14ac:dyDescent="0.2">
      <c r="E44" s="20" t="s">
        <v>46</v>
      </c>
      <c r="G44" s="5"/>
    </row>
    <row r="45" spans="1:7" ht="16" x14ac:dyDescent="0.2">
      <c r="E45" s="20" t="s">
        <v>47</v>
      </c>
      <c r="G45" s="5"/>
    </row>
    <row r="46" spans="1:7" ht="16" x14ac:dyDescent="0.2">
      <c r="E46" s="20" t="s">
        <v>48</v>
      </c>
      <c r="G46" s="5"/>
    </row>
    <row r="47" spans="1:7" x14ac:dyDescent="0.2">
      <c r="G47" s="5"/>
    </row>
    <row r="48" spans="1:7" ht="16" x14ac:dyDescent="0.2">
      <c r="E48" s="6" t="s">
        <v>49</v>
      </c>
      <c r="G48" s="5"/>
    </row>
    <row r="49" spans="1:8" x14ac:dyDescent="0.2">
      <c r="G49" s="5"/>
    </row>
    <row r="50" spans="1:8" s="18" customFormat="1" x14ac:dyDescent="0.2">
      <c r="A50" s="15" t="s">
        <v>50</v>
      </c>
      <c r="B50" s="16"/>
      <c r="C50" s="16"/>
      <c r="D50" s="15"/>
      <c r="E50" s="17"/>
      <c r="G50" s="15"/>
    </row>
    <row r="51" spans="1:8" x14ac:dyDescent="0.2">
      <c r="A51" s="4">
        <v>5</v>
      </c>
      <c r="B51" s="4" t="s">
        <v>26</v>
      </c>
      <c r="C51" s="19" t="s">
        <v>51</v>
      </c>
      <c r="D51" s="5" t="s">
        <v>22</v>
      </c>
      <c r="E51" s="21" t="s">
        <v>52</v>
      </c>
      <c r="G51" s="5"/>
    </row>
    <row r="52" spans="1:8" x14ac:dyDescent="0.2">
      <c r="C52" s="19"/>
      <c r="E52" s="7"/>
      <c r="G52" s="5"/>
    </row>
    <row r="53" spans="1:8" ht="16" x14ac:dyDescent="0.2">
      <c r="C53" s="19"/>
      <c r="D53" s="5" t="s">
        <v>53</v>
      </c>
      <c r="E53" s="6" t="s">
        <v>54</v>
      </c>
      <c r="G53" s="5"/>
    </row>
    <row r="54" spans="1:8" ht="16" x14ac:dyDescent="0.2">
      <c r="C54" s="19"/>
      <c r="E54" s="6" t="s">
        <v>55</v>
      </c>
      <c r="G54" s="5"/>
    </row>
    <row r="55" spans="1:8" ht="16" x14ac:dyDescent="0.2">
      <c r="C55" s="19"/>
      <c r="E55" s="6" t="s">
        <v>56</v>
      </c>
      <c r="G55" s="5"/>
    </row>
    <row r="56" spans="1:8" x14ac:dyDescent="0.2">
      <c r="G56" s="5"/>
    </row>
    <row r="57" spans="1:8" x14ac:dyDescent="0.2">
      <c r="G57" s="5"/>
    </row>
    <row r="58" spans="1:8" ht="16" x14ac:dyDescent="0.2">
      <c r="D58" s="5" t="s">
        <v>57</v>
      </c>
      <c r="E58" s="22" t="s">
        <v>58</v>
      </c>
      <c r="G58" s="5"/>
    </row>
    <row r="59" spans="1:8" ht="16" x14ac:dyDescent="0.2">
      <c r="E59" s="22" t="s">
        <v>59</v>
      </c>
      <c r="G59" s="5"/>
    </row>
    <row r="60" spans="1:8" ht="16" x14ac:dyDescent="0.2">
      <c r="E60" s="22" t="s">
        <v>60</v>
      </c>
      <c r="G60" s="5"/>
    </row>
    <row r="61" spans="1:8" ht="16" x14ac:dyDescent="0.2">
      <c r="E61" s="22" t="s">
        <v>61</v>
      </c>
      <c r="G61" s="5"/>
    </row>
    <row r="62" spans="1:8" ht="16" x14ac:dyDescent="0.2">
      <c r="E62" s="22" t="s">
        <v>62</v>
      </c>
      <c r="G62" s="5"/>
    </row>
    <row r="63" spans="1:8" x14ac:dyDescent="0.2">
      <c r="G63" s="5"/>
      <c r="H63" s="5"/>
    </row>
    <row r="64" spans="1:8" x14ac:dyDescent="0.2">
      <c r="G64" s="5"/>
    </row>
    <row r="65" spans="1:7" ht="16" x14ac:dyDescent="0.2">
      <c r="D65" s="5" t="s">
        <v>63</v>
      </c>
      <c r="E65" s="6" t="s">
        <v>64</v>
      </c>
      <c r="G65" s="5" t="s">
        <v>65</v>
      </c>
    </row>
    <row r="66" spans="1:7" ht="16" x14ac:dyDescent="0.2">
      <c r="E66" s="6" t="s">
        <v>66</v>
      </c>
      <c r="G66" s="5"/>
    </row>
    <row r="67" spans="1:7" ht="16" x14ac:dyDescent="0.2">
      <c r="E67" s="6" t="s">
        <v>67</v>
      </c>
      <c r="G67" s="5"/>
    </row>
    <row r="68" spans="1:7" ht="16" x14ac:dyDescent="0.2">
      <c r="E68" s="22" t="s">
        <v>68</v>
      </c>
      <c r="G68" s="5"/>
    </row>
    <row r="69" spans="1:7" x14ac:dyDescent="0.2">
      <c r="E69" s="7"/>
      <c r="G69" s="5"/>
    </row>
    <row r="70" spans="1:7" x14ac:dyDescent="0.2">
      <c r="E70" s="7"/>
      <c r="G70" s="5"/>
    </row>
    <row r="71" spans="1:7" x14ac:dyDescent="0.2">
      <c r="G71" s="5"/>
    </row>
    <row r="72" spans="1:7" x14ac:dyDescent="0.2">
      <c r="G72" s="5"/>
    </row>
    <row r="73" spans="1:7" s="12" customFormat="1" ht="21" x14ac:dyDescent="0.2">
      <c r="A73" s="8" t="s">
        <v>69</v>
      </c>
      <c r="B73" s="9"/>
      <c r="C73" s="8"/>
      <c r="D73" s="10"/>
      <c r="E73" s="11"/>
      <c r="G73" s="10"/>
    </row>
    <row r="74" spans="1:7" s="18" customFormat="1" x14ac:dyDescent="0.2">
      <c r="A74" s="15" t="s">
        <v>70</v>
      </c>
      <c r="B74" s="16"/>
      <c r="C74" s="16"/>
      <c r="D74" s="15"/>
      <c r="E74" s="17"/>
      <c r="G74" s="15"/>
    </row>
    <row r="75" spans="1:7" x14ac:dyDescent="0.2">
      <c r="A75" s="4">
        <v>6</v>
      </c>
      <c r="B75" s="4" t="s">
        <v>26</v>
      </c>
      <c r="C75" s="19" t="s">
        <v>27</v>
      </c>
      <c r="D75" s="5" t="s">
        <v>22</v>
      </c>
      <c r="E75" s="21" t="s">
        <v>71</v>
      </c>
      <c r="G75" s="5"/>
    </row>
    <row r="76" spans="1:7" x14ac:dyDescent="0.2">
      <c r="D76" s="5" t="s">
        <v>42</v>
      </c>
      <c r="E76" s="21" t="s">
        <v>72</v>
      </c>
    </row>
    <row r="77" spans="1:7" x14ac:dyDescent="0.2">
      <c r="E77" s="21" t="s">
        <v>73</v>
      </c>
      <c r="G77" s="5"/>
    </row>
    <row r="78" spans="1:7" x14ac:dyDescent="0.2">
      <c r="E78" s="21" t="s">
        <v>74</v>
      </c>
      <c r="G78" s="5"/>
    </row>
    <row r="79" spans="1:7" x14ac:dyDescent="0.2">
      <c r="E79" s="7"/>
      <c r="G79" s="5"/>
    </row>
    <row r="80" spans="1:7" x14ac:dyDescent="0.2">
      <c r="E80" s="7"/>
      <c r="G80" s="5"/>
    </row>
    <row r="81" spans="4:7" x14ac:dyDescent="0.2">
      <c r="E81" s="7"/>
      <c r="G81" s="5"/>
    </row>
    <row r="82" spans="4:7" x14ac:dyDescent="0.2">
      <c r="E82" s="7"/>
      <c r="G82" s="5"/>
    </row>
    <row r="83" spans="4:7" x14ac:dyDescent="0.2">
      <c r="D83" s="7"/>
      <c r="E83" s="7"/>
    </row>
    <row r="84" spans="4:7" ht="32" x14ac:dyDescent="0.2">
      <c r="D84" s="5" t="s">
        <v>57</v>
      </c>
      <c r="E84" s="6" t="s">
        <v>75</v>
      </c>
      <c r="G84" s="5"/>
    </row>
    <row r="85" spans="4:7" ht="16" x14ac:dyDescent="0.2">
      <c r="E85" s="6" t="s">
        <v>76</v>
      </c>
      <c r="G85" s="5"/>
    </row>
    <row r="86" spans="4:7" ht="16" x14ac:dyDescent="0.2">
      <c r="E86" s="6" t="s">
        <v>77</v>
      </c>
      <c r="G86" s="5"/>
    </row>
    <row r="87" spans="4:7" ht="16" x14ac:dyDescent="0.2">
      <c r="E87" s="6" t="s">
        <v>78</v>
      </c>
      <c r="G87" s="5"/>
    </row>
    <row r="88" spans="4:7" x14ac:dyDescent="0.2">
      <c r="G88" s="5"/>
    </row>
    <row r="89" spans="4:7" x14ac:dyDescent="0.2">
      <c r="G89" s="5"/>
    </row>
    <row r="90" spans="4:7" x14ac:dyDescent="0.2">
      <c r="D90" s="5" t="s">
        <v>79</v>
      </c>
      <c r="E90" s="21" t="s">
        <v>80</v>
      </c>
      <c r="G90" s="5"/>
    </row>
    <row r="91" spans="4:7" x14ac:dyDescent="0.2">
      <c r="E91" s="21" t="s">
        <v>81</v>
      </c>
      <c r="G91" s="5"/>
    </row>
    <row r="92" spans="4:7" ht="16" x14ac:dyDescent="0.2">
      <c r="E92" s="22" t="s">
        <v>82</v>
      </c>
      <c r="G92" s="5"/>
    </row>
    <row r="93" spans="4:7" ht="16" x14ac:dyDescent="0.2">
      <c r="E93" s="22" t="s">
        <v>83</v>
      </c>
      <c r="G93" s="5"/>
    </row>
    <row r="94" spans="4:7" ht="16" x14ac:dyDescent="0.2">
      <c r="E94" s="22" t="s">
        <v>84</v>
      </c>
      <c r="G94" s="5"/>
    </row>
    <row r="95" spans="4:7" ht="16" x14ac:dyDescent="0.2">
      <c r="E95" s="6" t="s">
        <v>85</v>
      </c>
      <c r="G95" s="5"/>
    </row>
    <row r="96" spans="4:7" ht="16" x14ac:dyDescent="0.2">
      <c r="E96" s="6" t="s">
        <v>86</v>
      </c>
      <c r="G96" s="5"/>
    </row>
    <row r="97" spans="1:7" ht="16" x14ac:dyDescent="0.2">
      <c r="E97" s="6" t="s">
        <v>87</v>
      </c>
      <c r="G97" s="5"/>
    </row>
    <row r="98" spans="1:7" ht="16" x14ac:dyDescent="0.2">
      <c r="E98" s="6" t="s">
        <v>88</v>
      </c>
      <c r="G98" s="5"/>
    </row>
    <row r="99" spans="1:7" x14ac:dyDescent="0.2">
      <c r="G99" s="5"/>
    </row>
    <row r="100" spans="1:7" x14ac:dyDescent="0.2">
      <c r="G100" s="5"/>
    </row>
    <row r="101" spans="1:7" x14ac:dyDescent="0.2">
      <c r="G101" s="5"/>
    </row>
    <row r="102" spans="1:7" x14ac:dyDescent="0.2">
      <c r="G102" s="5"/>
    </row>
    <row r="103" spans="1:7" s="18" customFormat="1" x14ac:dyDescent="0.2">
      <c r="A103" s="15" t="s">
        <v>89</v>
      </c>
      <c r="B103" s="16"/>
      <c r="C103" s="16"/>
      <c r="D103" s="15"/>
      <c r="E103" s="17"/>
      <c r="G103" s="15"/>
    </row>
    <row r="104" spans="1:7" ht="16" x14ac:dyDescent="0.2">
      <c r="A104" s="4">
        <v>6</v>
      </c>
      <c r="B104" s="4" t="s">
        <v>8</v>
      </c>
      <c r="C104" s="19" t="s">
        <v>27</v>
      </c>
      <c r="D104" s="5" t="s">
        <v>79</v>
      </c>
      <c r="E104" s="6" t="s">
        <v>90</v>
      </c>
      <c r="G104" s="5"/>
    </row>
    <row r="105" spans="1:7" ht="16" x14ac:dyDescent="0.2">
      <c r="E105" s="6" t="s">
        <v>91</v>
      </c>
      <c r="G105" s="5"/>
    </row>
    <row r="106" spans="1:7" x14ac:dyDescent="0.2">
      <c r="D106" s="7"/>
      <c r="E106" s="7"/>
    </row>
    <row r="107" spans="1:7" ht="16" x14ac:dyDescent="0.2">
      <c r="D107" s="5" t="s">
        <v>92</v>
      </c>
      <c r="E107" s="6" t="s">
        <v>93</v>
      </c>
      <c r="F107" s="5"/>
      <c r="G107" s="5"/>
    </row>
    <row r="108" spans="1:7" ht="16" x14ac:dyDescent="0.2">
      <c r="E108" s="6" t="s">
        <v>94</v>
      </c>
      <c r="G108" s="5"/>
    </row>
    <row r="109" spans="1:7" ht="16" x14ac:dyDescent="0.2">
      <c r="E109" s="6" t="s">
        <v>95</v>
      </c>
      <c r="G109" s="5"/>
    </row>
    <row r="110" spans="1:7" ht="16" x14ac:dyDescent="0.2">
      <c r="E110" s="6" t="s">
        <v>96</v>
      </c>
      <c r="F110" s="6"/>
      <c r="G110" s="5"/>
    </row>
    <row r="111" spans="1:7" ht="16" x14ac:dyDescent="0.2">
      <c r="E111" s="6" t="s">
        <v>97</v>
      </c>
      <c r="G111" s="5"/>
    </row>
    <row r="112" spans="1:7" ht="16" x14ac:dyDescent="0.2">
      <c r="E112" s="6" t="s">
        <v>98</v>
      </c>
      <c r="G112" s="5"/>
    </row>
    <row r="113" spans="1:7" x14ac:dyDescent="0.2">
      <c r="G113" s="5"/>
    </row>
    <row r="114" spans="1:7" x14ac:dyDescent="0.2">
      <c r="G114" s="5"/>
    </row>
    <row r="115" spans="1:7" x14ac:dyDescent="0.2">
      <c r="E115" s="7"/>
      <c r="G115" s="5"/>
    </row>
    <row r="116" spans="1:7" x14ac:dyDescent="0.2">
      <c r="E116" s="7"/>
      <c r="G116" s="5"/>
    </row>
    <row r="117" spans="1:7" x14ac:dyDescent="0.2">
      <c r="E117" s="7"/>
      <c r="G117" s="5"/>
    </row>
    <row r="118" spans="1:7" x14ac:dyDescent="0.2">
      <c r="G118" s="5"/>
    </row>
    <row r="119" spans="1:7" x14ac:dyDescent="0.2">
      <c r="G119" s="5"/>
    </row>
    <row r="120" spans="1:7" x14ac:dyDescent="0.2">
      <c r="G120" s="5"/>
    </row>
    <row r="121" spans="1:7" s="12" customFormat="1" ht="21" x14ac:dyDescent="0.2">
      <c r="A121" s="8" t="s">
        <v>99</v>
      </c>
      <c r="B121" s="9"/>
      <c r="C121" s="8"/>
      <c r="D121" s="10"/>
      <c r="E121" s="11"/>
      <c r="G121" s="10"/>
    </row>
    <row r="122" spans="1:7" s="18" customFormat="1" x14ac:dyDescent="0.2">
      <c r="A122" s="15" t="s">
        <v>100</v>
      </c>
      <c r="B122" s="16"/>
      <c r="C122" s="16"/>
      <c r="D122" s="15"/>
      <c r="E122" s="17"/>
      <c r="G122" s="15"/>
    </row>
    <row r="123" spans="1:7" x14ac:dyDescent="0.2">
      <c r="D123" s="5" t="s">
        <v>22</v>
      </c>
      <c r="E123" s="21" t="s">
        <v>71</v>
      </c>
      <c r="F123" s="21"/>
      <c r="G123" s="5"/>
    </row>
    <row r="124" spans="1:7" x14ac:dyDescent="0.2">
      <c r="D124" s="5" t="s">
        <v>42</v>
      </c>
      <c r="E124" s="21" t="s">
        <v>72</v>
      </c>
      <c r="F124" s="21"/>
    </row>
    <row r="125" spans="1:7" x14ac:dyDescent="0.2">
      <c r="E125" s="21" t="s">
        <v>73</v>
      </c>
      <c r="F125" s="21"/>
    </row>
    <row r="126" spans="1:7" x14ac:dyDescent="0.2">
      <c r="E126" s="21" t="s">
        <v>74</v>
      </c>
      <c r="F126" s="21"/>
      <c r="G126" s="5"/>
    </row>
    <row r="127" spans="1:7" x14ac:dyDescent="0.2">
      <c r="D127" s="7"/>
      <c r="E127" s="7"/>
      <c r="G127" s="5"/>
    </row>
    <row r="128" spans="1:7" x14ac:dyDescent="0.2">
      <c r="D128" s="7"/>
      <c r="E128" s="7"/>
      <c r="G128" s="5"/>
    </row>
    <row r="129" spans="4:7" x14ac:dyDescent="0.2">
      <c r="D129" s="7"/>
      <c r="E129" s="7"/>
      <c r="G129" s="5"/>
    </row>
    <row r="130" spans="4:7" ht="16" x14ac:dyDescent="0.2">
      <c r="D130" s="5" t="s">
        <v>57</v>
      </c>
      <c r="E130" s="6" t="s">
        <v>61</v>
      </c>
      <c r="F130" s="5"/>
      <c r="G130" s="5"/>
    </row>
    <row r="131" spans="4:7" ht="32" x14ac:dyDescent="0.2">
      <c r="D131" s="7"/>
      <c r="E131" s="6" t="s">
        <v>75</v>
      </c>
      <c r="F131" s="5"/>
      <c r="G131" s="5"/>
    </row>
    <row r="132" spans="4:7" ht="16" x14ac:dyDescent="0.2">
      <c r="E132" s="6" t="s">
        <v>101</v>
      </c>
      <c r="F132" s="5"/>
      <c r="G132" s="5"/>
    </row>
    <row r="133" spans="4:7" ht="16" x14ac:dyDescent="0.2">
      <c r="E133" s="6" t="s">
        <v>77</v>
      </c>
      <c r="F133" s="5"/>
      <c r="G133" s="5"/>
    </row>
    <row r="134" spans="4:7" ht="16" x14ac:dyDescent="0.2">
      <c r="E134" s="6" t="s">
        <v>78</v>
      </c>
      <c r="F134" s="5"/>
      <c r="G134" s="5"/>
    </row>
    <row r="135" spans="4:7" x14ac:dyDescent="0.2">
      <c r="E135" s="5" t="s">
        <v>102</v>
      </c>
      <c r="F135" s="5"/>
      <c r="G135" s="5"/>
    </row>
    <row r="136" spans="4:7" x14ac:dyDescent="0.2">
      <c r="E136" s="5"/>
      <c r="F136" s="5"/>
      <c r="G136" s="5"/>
    </row>
    <row r="137" spans="4:7" x14ac:dyDescent="0.2">
      <c r="E137" s="5"/>
      <c r="F137" s="5"/>
      <c r="G137" s="5"/>
    </row>
    <row r="139" spans="4:7" x14ac:dyDescent="0.2">
      <c r="D139" s="5" t="s">
        <v>79</v>
      </c>
      <c r="E139" s="21" t="s">
        <v>80</v>
      </c>
      <c r="F139" s="21"/>
      <c r="G139" s="5" t="s">
        <v>103</v>
      </c>
    </row>
    <row r="140" spans="4:7" x14ac:dyDescent="0.2">
      <c r="E140" s="21" t="s">
        <v>81</v>
      </c>
      <c r="F140" s="21"/>
      <c r="G140" s="5"/>
    </row>
    <row r="141" spans="4:7" ht="16" x14ac:dyDescent="0.2">
      <c r="E141" s="22" t="s">
        <v>82</v>
      </c>
      <c r="F141" s="22"/>
      <c r="G141" s="5"/>
    </row>
    <row r="142" spans="4:7" ht="16" x14ac:dyDescent="0.2">
      <c r="E142" s="22" t="s">
        <v>83</v>
      </c>
      <c r="F142" s="22"/>
      <c r="G142" s="5"/>
    </row>
    <row r="143" spans="4:7" ht="16" x14ac:dyDescent="0.2">
      <c r="E143" s="22" t="s">
        <v>84</v>
      </c>
      <c r="F143" s="22"/>
      <c r="G143" s="5"/>
    </row>
    <row r="144" spans="4:7" ht="16" x14ac:dyDescent="0.2">
      <c r="E144" s="6" t="s">
        <v>85</v>
      </c>
      <c r="F144" s="5"/>
      <c r="G144" s="5"/>
    </row>
    <row r="145" spans="1:7" ht="16" x14ac:dyDescent="0.2">
      <c r="E145" s="6" t="s">
        <v>86</v>
      </c>
    </row>
    <row r="146" spans="1:7" ht="16" x14ac:dyDescent="0.2">
      <c r="E146" s="6" t="s">
        <v>87</v>
      </c>
      <c r="F146" s="5"/>
      <c r="G146" s="5"/>
    </row>
    <row r="147" spans="1:7" ht="16" x14ac:dyDescent="0.2">
      <c r="E147" s="6" t="s">
        <v>88</v>
      </c>
      <c r="F147" s="5"/>
      <c r="G147" s="5"/>
    </row>
    <row r="148" spans="1:7" ht="16" x14ac:dyDescent="0.2">
      <c r="E148" s="6" t="s">
        <v>90</v>
      </c>
      <c r="F148" s="5"/>
      <c r="G148" s="5"/>
    </row>
    <row r="149" spans="1:7" ht="16" x14ac:dyDescent="0.2">
      <c r="E149" s="6" t="s">
        <v>91</v>
      </c>
      <c r="G149" s="5"/>
    </row>
    <row r="150" spans="1:7" x14ac:dyDescent="0.2">
      <c r="G150" s="5"/>
    </row>
    <row r="151" spans="1:7" x14ac:dyDescent="0.2">
      <c r="G151" s="5"/>
    </row>
    <row r="152" spans="1:7" s="18" customFormat="1" x14ac:dyDescent="0.2">
      <c r="A152" s="15" t="s">
        <v>104</v>
      </c>
      <c r="B152" s="16"/>
      <c r="C152" s="16"/>
      <c r="D152" s="15"/>
      <c r="E152" s="17"/>
      <c r="G152" s="15"/>
    </row>
    <row r="153" spans="1:7" x14ac:dyDescent="0.2">
      <c r="E153" s="7"/>
      <c r="G153" s="5"/>
    </row>
    <row r="154" spans="1:7" x14ac:dyDescent="0.2">
      <c r="G154" s="5"/>
    </row>
    <row r="155" spans="1:7" ht="16" x14ac:dyDescent="0.2">
      <c r="D155" s="54" t="s">
        <v>92</v>
      </c>
      <c r="E155" s="55" t="s">
        <v>93</v>
      </c>
      <c r="F155" s="5" t="s">
        <v>105</v>
      </c>
      <c r="G155" s="5"/>
    </row>
    <row r="156" spans="1:7" ht="16" x14ac:dyDescent="0.2">
      <c r="D156" s="54"/>
      <c r="E156" s="55" t="s">
        <v>94</v>
      </c>
      <c r="G156" s="5"/>
    </row>
    <row r="157" spans="1:7" ht="16" x14ac:dyDescent="0.2">
      <c r="D157" s="54"/>
      <c r="E157" s="55" t="s">
        <v>95</v>
      </c>
      <c r="G157" s="5"/>
    </row>
    <row r="158" spans="1:7" ht="16" x14ac:dyDescent="0.2">
      <c r="D158" s="54"/>
      <c r="E158" s="55" t="s">
        <v>106</v>
      </c>
      <c r="F158" s="6" t="s">
        <v>107</v>
      </c>
      <c r="G158" s="5"/>
    </row>
    <row r="159" spans="1:7" ht="16" x14ac:dyDescent="0.2">
      <c r="D159" s="54"/>
      <c r="E159" s="55" t="s">
        <v>97</v>
      </c>
      <c r="G159" s="5"/>
    </row>
    <row r="160" spans="1:7" x14ac:dyDescent="0.2">
      <c r="D160" s="54"/>
      <c r="E160" s="54" t="s">
        <v>108</v>
      </c>
      <c r="F160" s="6"/>
      <c r="G160" s="5"/>
    </row>
    <row r="161" spans="4:7" ht="16" x14ac:dyDescent="0.2">
      <c r="D161" s="54"/>
      <c r="E161" s="55" t="s">
        <v>98</v>
      </c>
      <c r="F161" s="6"/>
      <c r="G161" s="5"/>
    </row>
    <row r="162" spans="4:7" ht="16" x14ac:dyDescent="0.2">
      <c r="D162" s="54"/>
      <c r="E162" s="55" t="s">
        <v>109</v>
      </c>
      <c r="F162" s="6"/>
      <c r="G162" s="5"/>
    </row>
    <row r="163" spans="4:7" ht="16" x14ac:dyDescent="0.2">
      <c r="D163" s="54"/>
      <c r="E163" s="55" t="s">
        <v>110</v>
      </c>
      <c r="F163" s="6"/>
      <c r="G163" s="5"/>
    </row>
    <row r="164" spans="4:7" x14ac:dyDescent="0.2">
      <c r="D164" s="7"/>
      <c r="E164" s="7"/>
      <c r="F164" s="6"/>
      <c r="G164" s="5"/>
    </row>
    <row r="165" spans="4:7" x14ac:dyDescent="0.2">
      <c r="D165" s="7"/>
      <c r="E165" s="7"/>
      <c r="G165" s="5"/>
    </row>
    <row r="167" spans="4:7" x14ac:dyDescent="0.2">
      <c r="D167" s="7"/>
      <c r="E167" s="7"/>
      <c r="G167" s="5"/>
    </row>
    <row r="168" spans="4:7" ht="16" x14ac:dyDescent="0.2">
      <c r="D168" s="54" t="s">
        <v>111</v>
      </c>
      <c r="E168" s="55" t="s">
        <v>112</v>
      </c>
      <c r="F168" s="7" t="s">
        <v>105</v>
      </c>
      <c r="G168" s="5"/>
    </row>
    <row r="169" spans="4:7" x14ac:dyDescent="0.2">
      <c r="D169" s="54"/>
      <c r="E169" s="54" t="s">
        <v>113</v>
      </c>
      <c r="G169" s="5"/>
    </row>
    <row r="170" spans="4:7" x14ac:dyDescent="0.2">
      <c r="D170" s="54"/>
      <c r="E170" s="54" t="s">
        <v>114</v>
      </c>
      <c r="G170" s="5"/>
    </row>
    <row r="171" spans="4:7" x14ac:dyDescent="0.2">
      <c r="D171" s="54"/>
      <c r="E171" s="54" t="s">
        <v>115</v>
      </c>
      <c r="G171" s="5"/>
    </row>
    <row r="172" spans="4:7" ht="16" x14ac:dyDescent="0.2">
      <c r="D172" s="54"/>
      <c r="E172" s="55" t="s">
        <v>116</v>
      </c>
      <c r="G172" s="5"/>
    </row>
    <row r="173" spans="4:7" ht="16" x14ac:dyDescent="0.2">
      <c r="D173" s="54"/>
      <c r="E173" s="55" t="s">
        <v>117</v>
      </c>
      <c r="G173" s="5"/>
    </row>
    <row r="174" spans="4:7" x14ac:dyDescent="0.2">
      <c r="D174" s="54"/>
      <c r="E174" s="54" t="s">
        <v>118</v>
      </c>
      <c r="G174" s="5"/>
    </row>
    <row r="175" spans="4:7" ht="16" x14ac:dyDescent="0.2">
      <c r="D175" s="54"/>
      <c r="E175" s="55" t="s">
        <v>119</v>
      </c>
      <c r="G175" s="5"/>
    </row>
    <row r="176" spans="4:7" x14ac:dyDescent="0.2">
      <c r="D176" s="7"/>
      <c r="E176" s="7"/>
      <c r="G176" s="5"/>
    </row>
    <row r="177" spans="4:7" x14ac:dyDescent="0.2">
      <c r="D177" s="7"/>
      <c r="E177" s="7"/>
      <c r="G177" s="5"/>
    </row>
    <row r="178" spans="4:7" x14ac:dyDescent="0.2">
      <c r="D178" s="7"/>
      <c r="E178" s="7"/>
      <c r="G178" s="5"/>
    </row>
    <row r="179" spans="4:7" ht="16" x14ac:dyDescent="0.2">
      <c r="D179" s="54" t="s">
        <v>120</v>
      </c>
      <c r="E179" s="55" t="s">
        <v>121</v>
      </c>
      <c r="F179" s="7" t="s">
        <v>105</v>
      </c>
      <c r="G179" s="5"/>
    </row>
    <row r="180" spans="4:7" ht="16" x14ac:dyDescent="0.2">
      <c r="D180" s="54"/>
      <c r="E180" s="55" t="s">
        <v>122</v>
      </c>
      <c r="G180" s="5"/>
    </row>
    <row r="181" spans="4:7" ht="16" x14ac:dyDescent="0.2">
      <c r="D181" s="54"/>
      <c r="E181" s="55" t="s">
        <v>123</v>
      </c>
      <c r="G181" s="5"/>
    </row>
    <row r="182" spans="4:7" ht="16" x14ac:dyDescent="0.2">
      <c r="D182" s="54"/>
      <c r="E182" s="55" t="s">
        <v>124</v>
      </c>
      <c r="G182" s="5"/>
    </row>
    <row r="183" spans="4:7" ht="16" x14ac:dyDescent="0.2">
      <c r="D183" s="54"/>
      <c r="E183" s="55" t="s">
        <v>125</v>
      </c>
      <c r="G183" s="5"/>
    </row>
    <row r="184" spans="4:7" x14ac:dyDescent="0.2">
      <c r="G184" s="5"/>
    </row>
    <row r="185" spans="4:7" x14ac:dyDescent="0.2">
      <c r="G185" s="5"/>
    </row>
    <row r="186" spans="4:7" x14ac:dyDescent="0.2">
      <c r="G186" s="5"/>
    </row>
    <row r="187" spans="4:7" ht="32" x14ac:dyDescent="0.2">
      <c r="D187" s="54" t="s">
        <v>126</v>
      </c>
      <c r="E187" s="55" t="s">
        <v>127</v>
      </c>
      <c r="F187" s="7" t="s">
        <v>105</v>
      </c>
      <c r="G187" s="5"/>
    </row>
    <row r="188" spans="4:7" ht="16" x14ac:dyDescent="0.2">
      <c r="D188" s="54"/>
      <c r="E188" s="55" t="s">
        <v>128</v>
      </c>
      <c r="G188" s="5"/>
    </row>
    <row r="189" spans="4:7" ht="16" x14ac:dyDescent="0.2">
      <c r="D189" s="54"/>
      <c r="E189" s="55" t="s">
        <v>129</v>
      </c>
    </row>
    <row r="190" spans="4:7" ht="16" x14ac:dyDescent="0.2">
      <c r="D190" s="54"/>
      <c r="E190" s="55" t="s">
        <v>130</v>
      </c>
      <c r="G190" s="5"/>
    </row>
    <row r="191" spans="4:7" ht="16" x14ac:dyDescent="0.2">
      <c r="D191" s="54"/>
      <c r="E191" s="55" t="s">
        <v>131</v>
      </c>
      <c r="G191" s="5"/>
    </row>
    <row r="192" spans="4:7" ht="16" x14ac:dyDescent="0.2">
      <c r="D192" s="54"/>
      <c r="E192" s="55" t="s">
        <v>132</v>
      </c>
      <c r="G192" s="5"/>
    </row>
    <row r="193" spans="1:8" ht="16" x14ac:dyDescent="0.2">
      <c r="D193" s="54"/>
      <c r="E193" s="55" t="s">
        <v>133</v>
      </c>
      <c r="G193" s="5"/>
    </row>
    <row r="194" spans="1:8" x14ac:dyDescent="0.2">
      <c r="D194" s="7"/>
      <c r="E194" s="7"/>
      <c r="G194" s="5"/>
    </row>
    <row r="195" spans="1:8" x14ac:dyDescent="0.2">
      <c r="D195" s="7"/>
      <c r="E195" s="7"/>
    </row>
    <row r="196" spans="1:8" s="18" customFormat="1" x14ac:dyDescent="0.2">
      <c r="A196" s="15" t="s">
        <v>134</v>
      </c>
      <c r="B196" s="16"/>
      <c r="C196" s="16"/>
      <c r="D196" s="15"/>
      <c r="E196" s="17"/>
      <c r="G196" s="15"/>
    </row>
    <row r="197" spans="1:8" x14ac:dyDescent="0.2">
      <c r="G197" s="5"/>
    </row>
    <row r="198" spans="1:8" x14ac:dyDescent="0.2">
      <c r="C198" s="19"/>
      <c r="D198" s="7"/>
      <c r="E198" s="7"/>
      <c r="G198" s="5"/>
    </row>
    <row r="199" spans="1:8" ht="16" x14ac:dyDescent="0.2">
      <c r="D199" s="52" t="s">
        <v>135</v>
      </c>
      <c r="E199" s="53" t="s">
        <v>136</v>
      </c>
      <c r="F199" s="7" t="s">
        <v>137</v>
      </c>
      <c r="G199" s="5" t="s">
        <v>138</v>
      </c>
      <c r="H199" s="56" t="s">
        <v>139</v>
      </c>
    </row>
    <row r="200" spans="1:8" ht="32" x14ac:dyDescent="0.2">
      <c r="D200" s="52"/>
      <c r="E200" s="53" t="s">
        <v>140</v>
      </c>
      <c r="G200" s="5"/>
    </row>
    <row r="201" spans="1:8" ht="16" x14ac:dyDescent="0.2">
      <c r="D201" s="52"/>
      <c r="E201" s="53" t="s">
        <v>141</v>
      </c>
      <c r="G201" s="5"/>
    </row>
    <row r="202" spans="1:8" ht="16" x14ac:dyDescent="0.2">
      <c r="D202" s="52"/>
      <c r="E202" s="53" t="s">
        <v>142</v>
      </c>
      <c r="G202" s="5"/>
    </row>
    <row r="203" spans="1:8" ht="32" x14ac:dyDescent="0.2">
      <c r="D203" s="52"/>
      <c r="E203" s="53" t="s">
        <v>143</v>
      </c>
      <c r="G203" s="5"/>
    </row>
    <row r="204" spans="1:8" ht="16" x14ac:dyDescent="0.2">
      <c r="D204" s="52"/>
      <c r="E204" s="53" t="s">
        <v>144</v>
      </c>
      <c r="G204" s="5"/>
    </row>
    <row r="205" spans="1:8" ht="16" x14ac:dyDescent="0.2">
      <c r="D205" s="52"/>
      <c r="E205" s="53" t="s">
        <v>145</v>
      </c>
      <c r="G205" s="5"/>
    </row>
    <row r="206" spans="1:8" ht="16" x14ac:dyDescent="0.2">
      <c r="D206" s="52"/>
      <c r="E206" s="53" t="s">
        <v>146</v>
      </c>
      <c r="G206" s="5"/>
    </row>
    <row r="207" spans="1:8" x14ac:dyDescent="0.2">
      <c r="D207" s="7"/>
      <c r="E207" s="7"/>
    </row>
    <row r="209" spans="4:7" x14ac:dyDescent="0.2">
      <c r="G209" s="5"/>
    </row>
    <row r="210" spans="4:7" x14ac:dyDescent="0.2">
      <c r="G210" s="5"/>
    </row>
    <row r="211" spans="4:7" ht="16" x14ac:dyDescent="0.2">
      <c r="D211" s="52" t="s">
        <v>147</v>
      </c>
      <c r="E211" s="53" t="s">
        <v>148</v>
      </c>
      <c r="F211" s="7" t="s">
        <v>137</v>
      </c>
      <c r="G211" s="5"/>
    </row>
    <row r="212" spans="4:7" ht="16" x14ac:dyDescent="0.2">
      <c r="D212" s="52"/>
      <c r="E212" s="53" t="s">
        <v>149</v>
      </c>
      <c r="G212" s="5"/>
    </row>
    <row r="213" spans="4:7" ht="16" x14ac:dyDescent="0.2">
      <c r="D213" s="52"/>
      <c r="E213" s="53" t="s">
        <v>150</v>
      </c>
      <c r="G213" s="5"/>
    </row>
    <row r="214" spans="4:7" ht="16" x14ac:dyDescent="0.2">
      <c r="D214" s="52"/>
      <c r="E214" s="53" t="s">
        <v>151</v>
      </c>
      <c r="G214" s="5"/>
    </row>
    <row r="215" spans="4:7" ht="16" x14ac:dyDescent="0.2">
      <c r="D215" s="52"/>
      <c r="E215" s="53" t="s">
        <v>152</v>
      </c>
      <c r="G215" s="5"/>
    </row>
    <row r="216" spans="4:7" ht="16" x14ac:dyDescent="0.2">
      <c r="D216" s="52"/>
      <c r="E216" s="53" t="s">
        <v>153</v>
      </c>
      <c r="G216" s="5"/>
    </row>
    <row r="217" spans="4:7" ht="32" x14ac:dyDescent="0.2">
      <c r="D217" s="52"/>
      <c r="E217" s="53" t="s">
        <v>154</v>
      </c>
      <c r="G217" s="5"/>
    </row>
    <row r="218" spans="4:7" ht="16" x14ac:dyDescent="0.2">
      <c r="D218" s="52"/>
      <c r="E218" s="53" t="s">
        <v>155</v>
      </c>
      <c r="G218" s="5"/>
    </row>
    <row r="219" spans="4:7" ht="16" x14ac:dyDescent="0.2">
      <c r="D219" s="52"/>
      <c r="E219" s="53" t="s">
        <v>156</v>
      </c>
      <c r="G219" s="5"/>
    </row>
    <row r="220" spans="4:7" ht="16" x14ac:dyDescent="0.2">
      <c r="D220" s="52"/>
      <c r="E220" s="53" t="s">
        <v>157</v>
      </c>
      <c r="G220" s="5" t="s">
        <v>158</v>
      </c>
    </row>
    <row r="221" spans="4:7" ht="16" x14ac:dyDescent="0.2">
      <c r="D221" s="52"/>
      <c r="E221" s="53" t="s">
        <v>159</v>
      </c>
      <c r="G221" s="5"/>
    </row>
    <row r="222" spans="4:7" ht="16" x14ac:dyDescent="0.2">
      <c r="D222" s="52"/>
      <c r="E222" s="53" t="s">
        <v>160</v>
      </c>
      <c r="G222" s="5"/>
    </row>
    <row r="223" spans="4:7" x14ac:dyDescent="0.2">
      <c r="G223" s="5"/>
    </row>
    <row r="224" spans="4:7" x14ac:dyDescent="0.2">
      <c r="G224" s="5"/>
    </row>
    <row r="225" spans="1:22" x14ac:dyDescent="0.2">
      <c r="G225" s="5"/>
    </row>
    <row r="226" spans="1:22" ht="16" x14ac:dyDescent="0.2">
      <c r="D226" s="52" t="s">
        <v>161</v>
      </c>
      <c r="E226" s="53" t="s">
        <v>162</v>
      </c>
      <c r="F226" s="7" t="s">
        <v>137</v>
      </c>
      <c r="G226" s="5"/>
    </row>
    <row r="227" spans="1:22" ht="16" x14ac:dyDescent="0.2">
      <c r="D227" s="52"/>
      <c r="E227" s="53" t="s">
        <v>163</v>
      </c>
      <c r="G227" s="5"/>
    </row>
    <row r="228" spans="1:22" ht="16" x14ac:dyDescent="0.2">
      <c r="D228" s="52"/>
      <c r="E228" s="53" t="s">
        <v>164</v>
      </c>
      <c r="G228" s="5"/>
    </row>
    <row r="229" spans="1:22" ht="16" x14ac:dyDescent="0.2">
      <c r="D229" s="52"/>
      <c r="E229" s="53" t="s">
        <v>165</v>
      </c>
      <c r="G229" s="5"/>
    </row>
    <row r="230" spans="1:22" ht="16" x14ac:dyDescent="0.2">
      <c r="D230" s="52"/>
      <c r="E230" s="53" t="s">
        <v>166</v>
      </c>
      <c r="G230" s="5"/>
    </row>
    <row r="231" spans="1:22" ht="16" x14ac:dyDescent="0.2">
      <c r="D231" s="52"/>
      <c r="E231" s="53" t="s">
        <v>167</v>
      </c>
      <c r="G231" s="5"/>
    </row>
    <row r="232" spans="1:22" ht="16" x14ac:dyDescent="0.2">
      <c r="D232" s="52"/>
      <c r="E232" s="53" t="s">
        <v>168</v>
      </c>
      <c r="G232" s="5"/>
    </row>
    <row r="233" spans="1:22" x14ac:dyDescent="0.2">
      <c r="D233" s="7"/>
      <c r="E233" s="7"/>
      <c r="G233" s="5"/>
    </row>
    <row r="234" spans="1:22" x14ac:dyDescent="0.2">
      <c r="D234" s="7"/>
      <c r="E234" s="7"/>
      <c r="G234" s="5"/>
    </row>
    <row r="235" spans="1:22" x14ac:dyDescent="0.2">
      <c r="A235" s="15" t="s">
        <v>169</v>
      </c>
      <c r="B235" s="16"/>
      <c r="C235" s="16"/>
      <c r="D235" s="15"/>
      <c r="E235" s="17"/>
      <c r="F235" s="18"/>
      <c r="G235" s="15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 x14ac:dyDescent="0.2">
      <c r="D236" s="7"/>
      <c r="E236" s="7"/>
      <c r="G236" s="5"/>
    </row>
    <row r="237" spans="1:22" x14ac:dyDescent="0.2">
      <c r="D237" s="7"/>
      <c r="E237" s="7"/>
      <c r="G237" s="5"/>
    </row>
    <row r="239" spans="1:22" x14ac:dyDescent="0.2">
      <c r="D239" s="7"/>
      <c r="E239" s="7"/>
      <c r="G239" s="5"/>
    </row>
    <row r="240" spans="1:22" x14ac:dyDescent="0.2">
      <c r="D240" s="7"/>
      <c r="E240" s="7"/>
    </row>
    <row r="241" spans="4:7" x14ac:dyDescent="0.2">
      <c r="D241" s="7"/>
      <c r="E241" s="7"/>
    </row>
    <row r="242" spans="4:7" x14ac:dyDescent="0.2">
      <c r="D242" s="7"/>
      <c r="E242" s="7"/>
    </row>
    <row r="243" spans="4:7" x14ac:dyDescent="0.2">
      <c r="D243" s="7"/>
      <c r="E243" s="7"/>
    </row>
    <row r="244" spans="4:7" x14ac:dyDescent="0.2">
      <c r="D244" s="7"/>
      <c r="E244" s="7"/>
    </row>
    <row r="245" spans="4:7" x14ac:dyDescent="0.2">
      <c r="D245" s="7"/>
      <c r="E245" s="7"/>
    </row>
    <row r="246" spans="4:7" x14ac:dyDescent="0.2">
      <c r="D246" s="7"/>
      <c r="E246" s="7"/>
    </row>
    <row r="247" spans="4:7" x14ac:dyDescent="0.2">
      <c r="D247" s="7"/>
      <c r="E247" s="7"/>
    </row>
    <row r="248" spans="4:7" x14ac:dyDescent="0.2">
      <c r="E248" s="7"/>
      <c r="G248" s="5"/>
    </row>
    <row r="249" spans="4:7" x14ac:dyDescent="0.2">
      <c r="E249" s="7"/>
      <c r="G249" s="5"/>
    </row>
    <row r="250" spans="4:7" x14ac:dyDescent="0.2">
      <c r="D250" s="7"/>
      <c r="E250" s="7"/>
    </row>
    <row r="251" spans="4:7" x14ac:dyDescent="0.2">
      <c r="D251" s="7"/>
      <c r="E251" s="7"/>
    </row>
    <row r="252" spans="4:7" x14ac:dyDescent="0.2">
      <c r="G252" s="5"/>
    </row>
    <row r="253" spans="4:7" x14ac:dyDescent="0.2">
      <c r="G253" s="5"/>
    </row>
    <row r="254" spans="4:7" x14ac:dyDescent="0.2">
      <c r="D254" s="7"/>
      <c r="E254" s="7"/>
    </row>
    <row r="255" spans="4:7" x14ac:dyDescent="0.2">
      <c r="D255" s="7"/>
      <c r="E255" s="7"/>
    </row>
    <row r="256" spans="4:7" x14ac:dyDescent="0.2">
      <c r="D256" s="7"/>
      <c r="E256" s="7"/>
    </row>
    <row r="257" spans="4:7" x14ac:dyDescent="0.2">
      <c r="D257" s="7"/>
      <c r="E257" s="7"/>
    </row>
    <row r="258" spans="4:7" x14ac:dyDescent="0.2">
      <c r="G258" s="5"/>
    </row>
    <row r="259" spans="4:7" x14ac:dyDescent="0.2">
      <c r="G259" s="5"/>
    </row>
    <row r="260" spans="4:7" x14ac:dyDescent="0.2">
      <c r="D260" s="7"/>
      <c r="E260" s="7"/>
    </row>
    <row r="261" spans="4:7" x14ac:dyDescent="0.2">
      <c r="D261" s="7"/>
      <c r="E261" s="7"/>
    </row>
    <row r="262" spans="4:7" x14ac:dyDescent="0.2">
      <c r="D262" s="7"/>
      <c r="E262" s="7"/>
    </row>
    <row r="263" spans="4:7" x14ac:dyDescent="0.2">
      <c r="D263" s="7"/>
      <c r="E263" s="7"/>
    </row>
    <row r="264" spans="4:7" x14ac:dyDescent="0.2">
      <c r="D264" s="7"/>
      <c r="E264" s="7"/>
    </row>
    <row r="265" spans="4:7" x14ac:dyDescent="0.2">
      <c r="D265" s="7"/>
      <c r="E265" s="7"/>
    </row>
    <row r="266" spans="4:7" x14ac:dyDescent="0.2">
      <c r="D266" s="7"/>
      <c r="E266" s="7"/>
    </row>
    <row r="267" spans="4:7" x14ac:dyDescent="0.2">
      <c r="G267" s="5"/>
    </row>
    <row r="268" spans="4:7" x14ac:dyDescent="0.2">
      <c r="G268" s="5"/>
    </row>
    <row r="269" spans="4:7" x14ac:dyDescent="0.2">
      <c r="G269" s="5"/>
    </row>
    <row r="270" spans="4:7" x14ac:dyDescent="0.2">
      <c r="G270" s="5"/>
    </row>
    <row r="271" spans="4:7" x14ac:dyDescent="0.2">
      <c r="G271" s="5"/>
    </row>
    <row r="272" spans="4:7" x14ac:dyDescent="0.2">
      <c r="G272" s="5"/>
    </row>
    <row r="273" spans="7:7" x14ac:dyDescent="0.2">
      <c r="G273" s="5"/>
    </row>
    <row r="274" spans="7:7" x14ac:dyDescent="0.2">
      <c r="G274" s="5"/>
    </row>
    <row r="275" spans="7:7" x14ac:dyDescent="0.2">
      <c r="G275" s="5"/>
    </row>
    <row r="276" spans="7:7" x14ac:dyDescent="0.2">
      <c r="G276" s="5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zoomScale="176" workbookViewId="0">
      <selection activeCell="A4" sqref="A4"/>
    </sheetView>
  </sheetViews>
  <sheetFormatPr baseColWidth="10" defaultColWidth="9" defaultRowHeight="15" x14ac:dyDescent="0.2"/>
  <cols>
    <col min="1" max="1" width="9" style="1"/>
    <col min="2" max="2" width="29.5" customWidth="1"/>
    <col min="3" max="3" width="91.5" style="2" customWidth="1"/>
    <col min="4" max="4" width="12.5" style="1" customWidth="1"/>
    <col min="5" max="5" width="13.5" style="1" customWidth="1"/>
    <col min="6" max="6" width="17" customWidth="1"/>
    <col min="7" max="9" width="13.5" customWidth="1"/>
  </cols>
  <sheetData>
    <row r="1" spans="1:8" ht="24" x14ac:dyDescent="0.3">
      <c r="B1" s="27" t="s">
        <v>170</v>
      </c>
    </row>
    <row r="3" spans="1:8" s="26" customFormat="1" x14ac:dyDescent="0.2">
      <c r="A3" s="73" t="s">
        <v>171</v>
      </c>
      <c r="B3" s="28" t="s">
        <v>172</v>
      </c>
      <c r="C3" s="23"/>
      <c r="D3" s="24"/>
      <c r="E3" s="23"/>
      <c r="F3" s="25"/>
    </row>
    <row r="4" spans="1:8" s="29" customFormat="1" x14ac:dyDescent="0.2">
      <c r="A4" s="31"/>
      <c r="B4" s="29" t="s">
        <v>173</v>
      </c>
      <c r="C4" s="30"/>
      <c r="D4" s="31" t="s">
        <v>174</v>
      </c>
      <c r="E4" s="31" t="s">
        <v>175</v>
      </c>
      <c r="F4" s="29" t="s">
        <v>176</v>
      </c>
      <c r="H4" s="29" t="s">
        <v>177</v>
      </c>
    </row>
    <row r="5" spans="1:8" x14ac:dyDescent="0.2">
      <c r="A5" s="74" t="s">
        <v>178</v>
      </c>
      <c r="B5" t="s">
        <v>12</v>
      </c>
      <c r="C5" s="2" t="s">
        <v>179</v>
      </c>
      <c r="D5" s="1" t="s">
        <v>180</v>
      </c>
      <c r="E5" s="1" t="s">
        <v>181</v>
      </c>
      <c r="F5" t="s">
        <v>182</v>
      </c>
      <c r="H5" s="1">
        <v>1</v>
      </c>
    </row>
    <row r="6" spans="1:8" x14ac:dyDescent="0.2">
      <c r="A6" s="74" t="s">
        <v>183</v>
      </c>
      <c r="B6" t="s">
        <v>12</v>
      </c>
      <c r="C6" s="2" t="s">
        <v>184</v>
      </c>
      <c r="D6" s="1" t="s">
        <v>180</v>
      </c>
      <c r="E6" s="1" t="s">
        <v>181</v>
      </c>
      <c r="F6" t="s">
        <v>182</v>
      </c>
      <c r="H6" s="1">
        <v>1</v>
      </c>
    </row>
    <row r="7" spans="1:8" x14ac:dyDescent="0.2">
      <c r="A7" s="74" t="s">
        <v>185</v>
      </c>
      <c r="B7" t="s">
        <v>186</v>
      </c>
      <c r="C7" s="2" t="s">
        <v>187</v>
      </c>
      <c r="D7" s="1" t="s">
        <v>180</v>
      </c>
      <c r="E7" s="1" t="s">
        <v>188</v>
      </c>
      <c r="H7" s="1" t="s">
        <v>189</v>
      </c>
    </row>
    <row r="8" spans="1:8" x14ac:dyDescent="0.2">
      <c r="A8" s="74" t="s">
        <v>190</v>
      </c>
      <c r="B8" t="s">
        <v>57</v>
      </c>
      <c r="C8" s="2" t="s">
        <v>191</v>
      </c>
      <c r="D8" s="1" t="s">
        <v>180</v>
      </c>
      <c r="E8" s="1" t="s">
        <v>105</v>
      </c>
      <c r="H8" s="1">
        <v>1</v>
      </c>
    </row>
    <row r="9" spans="1:8" x14ac:dyDescent="0.2">
      <c r="A9" s="74" t="s">
        <v>192</v>
      </c>
      <c r="B9" t="s">
        <v>57</v>
      </c>
      <c r="C9" s="2" t="s">
        <v>193</v>
      </c>
      <c r="D9" s="1" t="s">
        <v>180</v>
      </c>
      <c r="E9" s="1" t="s">
        <v>137</v>
      </c>
      <c r="H9" s="1">
        <v>1</v>
      </c>
    </row>
    <row r="10" spans="1:8" x14ac:dyDescent="0.2">
      <c r="A10" s="74" t="s">
        <v>194</v>
      </c>
      <c r="B10" t="s">
        <v>57</v>
      </c>
      <c r="C10" s="2" t="s">
        <v>195</v>
      </c>
      <c r="D10" s="1" t="s">
        <v>180</v>
      </c>
      <c r="E10" s="1" t="s">
        <v>137</v>
      </c>
      <c r="H10" s="1">
        <v>1</v>
      </c>
    </row>
    <row r="11" spans="1:8" x14ac:dyDescent="0.2">
      <c r="A11" s="74" t="s">
        <v>196</v>
      </c>
      <c r="B11" t="s">
        <v>57</v>
      </c>
      <c r="C11" s="2" t="s">
        <v>197</v>
      </c>
      <c r="D11" s="1" t="s">
        <v>180</v>
      </c>
      <c r="E11" s="1" t="s">
        <v>137</v>
      </c>
      <c r="H11" s="1">
        <v>1</v>
      </c>
    </row>
    <row r="12" spans="1:8" x14ac:dyDescent="0.2">
      <c r="B12" t="s">
        <v>198</v>
      </c>
      <c r="C12" s="2" t="s">
        <v>199</v>
      </c>
      <c r="D12" s="1" t="s">
        <v>180</v>
      </c>
      <c r="E12" s="1" t="s">
        <v>181</v>
      </c>
      <c r="H12" s="1" t="s">
        <v>200</v>
      </c>
    </row>
    <row r="13" spans="1:8" ht="16" x14ac:dyDescent="0.2">
      <c r="A13" s="74" t="s">
        <v>201</v>
      </c>
      <c r="B13" s="7" t="s">
        <v>63</v>
      </c>
      <c r="C13" s="37" t="s">
        <v>202</v>
      </c>
      <c r="D13" s="45" t="s">
        <v>180</v>
      </c>
      <c r="E13" s="45" t="s">
        <v>105</v>
      </c>
      <c r="H13" s="1" t="s">
        <v>189</v>
      </c>
    </row>
    <row r="14" spans="1:8" x14ac:dyDescent="0.2">
      <c r="A14" s="74" t="s">
        <v>203</v>
      </c>
      <c r="B14" t="s">
        <v>42</v>
      </c>
      <c r="C14" s="2" t="s">
        <v>204</v>
      </c>
      <c r="D14" s="1" t="s">
        <v>205</v>
      </c>
      <c r="E14" s="1" t="s">
        <v>188</v>
      </c>
      <c r="H14" s="1">
        <v>1</v>
      </c>
    </row>
    <row r="17" spans="1:8" s="26" customFormat="1" x14ac:dyDescent="0.2">
      <c r="A17" s="73"/>
      <c r="B17" s="28" t="s">
        <v>206</v>
      </c>
      <c r="C17" s="23"/>
      <c r="D17" s="24"/>
      <c r="E17" s="23"/>
      <c r="F17" s="25"/>
    </row>
    <row r="18" spans="1:8" s="29" customFormat="1" x14ac:dyDescent="0.2">
      <c r="A18" s="31"/>
      <c r="B18" s="29" t="s">
        <v>207</v>
      </c>
      <c r="C18" s="30"/>
      <c r="D18" s="31" t="s">
        <v>174</v>
      </c>
      <c r="E18" s="31" t="s">
        <v>175</v>
      </c>
      <c r="F18" s="29" t="s">
        <v>208</v>
      </c>
      <c r="H18" s="29" t="s">
        <v>209</v>
      </c>
    </row>
    <row r="19" spans="1:8" x14ac:dyDescent="0.2">
      <c r="A19" s="75" t="s">
        <v>210</v>
      </c>
      <c r="B19" s="57" t="s">
        <v>211</v>
      </c>
      <c r="C19" s="58" t="s">
        <v>212</v>
      </c>
      <c r="D19" s="59"/>
      <c r="E19" s="59" t="s">
        <v>213</v>
      </c>
      <c r="F19" s="57"/>
      <c r="G19" s="57"/>
      <c r="H19" s="57"/>
    </row>
    <row r="20" spans="1:8" s="57" customFormat="1" x14ac:dyDescent="0.2">
      <c r="A20" s="59"/>
      <c r="B20" s="57" t="s">
        <v>214</v>
      </c>
      <c r="C20" s="58" t="s">
        <v>215</v>
      </c>
      <c r="D20" s="59"/>
      <c r="E20" s="59" t="s">
        <v>213</v>
      </c>
    </row>
    <row r="21" spans="1:8" s="57" customFormat="1" x14ac:dyDescent="0.2">
      <c r="A21" s="75" t="s">
        <v>216</v>
      </c>
      <c r="B21" s="57" t="s">
        <v>217</v>
      </c>
      <c r="C21" s="58" t="s">
        <v>218</v>
      </c>
      <c r="D21" s="59"/>
      <c r="E21" s="59" t="s">
        <v>105</v>
      </c>
    </row>
    <row r="22" spans="1:8" s="57" customFormat="1" x14ac:dyDescent="0.2">
      <c r="A22" s="75" t="s">
        <v>219</v>
      </c>
      <c r="B22" s="57" t="s">
        <v>220</v>
      </c>
      <c r="C22" s="58" t="s">
        <v>221</v>
      </c>
      <c r="D22" s="59"/>
      <c r="E22" s="59" t="s">
        <v>213</v>
      </c>
      <c r="F22" s="58" t="s">
        <v>222</v>
      </c>
    </row>
    <row r="23" spans="1:8" s="57" customFormat="1" x14ac:dyDescent="0.2">
      <c r="A23" s="75" t="s">
        <v>223</v>
      </c>
      <c r="B23" s="57" t="s">
        <v>57</v>
      </c>
      <c r="C23" s="58" t="s">
        <v>224</v>
      </c>
      <c r="D23" s="59"/>
      <c r="E23" s="59" t="s">
        <v>105</v>
      </c>
      <c r="F23" s="58" t="s">
        <v>225</v>
      </c>
    </row>
    <row r="24" spans="1:8" s="57" customFormat="1" x14ac:dyDescent="0.2">
      <c r="A24" s="75" t="s">
        <v>226</v>
      </c>
      <c r="B24" s="57" t="s">
        <v>227</v>
      </c>
      <c r="C24" s="58" t="s">
        <v>228</v>
      </c>
      <c r="D24" s="59"/>
      <c r="E24" s="59" t="s">
        <v>105</v>
      </c>
      <c r="F24" s="58" t="s">
        <v>229</v>
      </c>
    </row>
    <row r="25" spans="1:8" x14ac:dyDescent="0.2">
      <c r="A25" s="75" t="s">
        <v>230</v>
      </c>
      <c r="B25" s="57" t="s">
        <v>231</v>
      </c>
      <c r="C25" s="58" t="s">
        <v>232</v>
      </c>
      <c r="D25" s="59"/>
      <c r="E25" s="59" t="s">
        <v>188</v>
      </c>
      <c r="F25" s="58" t="s">
        <v>233</v>
      </c>
      <c r="G25" s="57"/>
      <c r="H25" s="57"/>
    </row>
    <row r="26" spans="1:8" s="57" customFormat="1" x14ac:dyDescent="0.2">
      <c r="A26" s="75" t="s">
        <v>234</v>
      </c>
      <c r="B26" s="57" t="s">
        <v>63</v>
      </c>
      <c r="C26" s="58" t="s">
        <v>235</v>
      </c>
      <c r="D26" s="59"/>
      <c r="E26" s="59" t="s">
        <v>213</v>
      </c>
      <c r="F26" s="58" t="s">
        <v>236</v>
      </c>
    </row>
    <row r="27" spans="1:8" x14ac:dyDescent="0.2">
      <c r="B27" s="33"/>
      <c r="C27" s="34"/>
      <c r="D27" s="35"/>
      <c r="E27" s="35"/>
    </row>
    <row r="28" spans="1:8" x14ac:dyDescent="0.2">
      <c r="B28" s="33" t="s">
        <v>237</v>
      </c>
      <c r="C28" s="40" t="s">
        <v>238</v>
      </c>
      <c r="D28" s="35"/>
      <c r="E28" s="35"/>
    </row>
    <row r="29" spans="1:8" x14ac:dyDescent="0.2">
      <c r="B29" s="33" t="s">
        <v>239</v>
      </c>
      <c r="C29" s="34" t="s">
        <v>240</v>
      </c>
      <c r="D29" s="35"/>
      <c r="E29" s="35" t="s">
        <v>241</v>
      </c>
    </row>
    <row r="30" spans="1:8" s="51" customFormat="1" ht="30.75" customHeight="1" x14ac:dyDescent="0.2">
      <c r="A30" s="45"/>
      <c r="B30" s="36" t="s">
        <v>242</v>
      </c>
      <c r="C30" s="49" t="s">
        <v>243</v>
      </c>
      <c r="D30" s="50"/>
      <c r="E30" s="50" t="s">
        <v>241</v>
      </c>
    </row>
    <row r="31" spans="1:8" x14ac:dyDescent="0.2">
      <c r="B31" t="s">
        <v>244</v>
      </c>
      <c r="C31" s="40" t="s">
        <v>245</v>
      </c>
      <c r="E31" s="1" t="s">
        <v>181</v>
      </c>
    </row>
    <row r="32" spans="1:8" x14ac:dyDescent="0.2">
      <c r="B32" s="32" t="s">
        <v>38</v>
      </c>
      <c r="C32" s="40" t="s">
        <v>246</v>
      </c>
      <c r="E32" s="1" t="s">
        <v>247</v>
      </c>
    </row>
    <row r="33" spans="1:8" x14ac:dyDescent="0.2">
      <c r="B33" t="s">
        <v>22</v>
      </c>
      <c r="C33" s="2" t="s">
        <v>248</v>
      </c>
    </row>
    <row r="34" spans="1:8" x14ac:dyDescent="0.2">
      <c r="B34" t="s">
        <v>22</v>
      </c>
      <c r="C34" s="41" t="s">
        <v>249</v>
      </c>
      <c r="E34" s="1" t="s">
        <v>250</v>
      </c>
    </row>
    <row r="35" spans="1:8" x14ac:dyDescent="0.2">
      <c r="B35" t="s">
        <v>22</v>
      </c>
      <c r="C35" s="2" t="s">
        <v>251</v>
      </c>
    </row>
    <row r="36" spans="1:8" x14ac:dyDescent="0.2">
      <c r="B36" s="33"/>
      <c r="C36" s="34"/>
      <c r="D36" s="35"/>
      <c r="E36" s="35"/>
    </row>
    <row r="37" spans="1:8" x14ac:dyDescent="0.2">
      <c r="B37" t="s">
        <v>217</v>
      </c>
      <c r="C37" s="40" t="s">
        <v>252</v>
      </c>
      <c r="E37" s="1" t="s">
        <v>181</v>
      </c>
    </row>
    <row r="38" spans="1:8" x14ac:dyDescent="0.2">
      <c r="B38" t="s">
        <v>92</v>
      </c>
      <c r="C38" s="40" t="s">
        <v>253</v>
      </c>
      <c r="D38" s="1" t="s">
        <v>254</v>
      </c>
      <c r="E38" s="1" t="s">
        <v>255</v>
      </c>
    </row>
    <row r="39" spans="1:8" x14ac:dyDescent="0.2">
      <c r="B39" s="36" t="s">
        <v>92</v>
      </c>
      <c r="C39" s="40" t="s">
        <v>256</v>
      </c>
      <c r="D39" s="35"/>
      <c r="E39" s="35" t="s">
        <v>241</v>
      </c>
    </row>
    <row r="40" spans="1:8" x14ac:dyDescent="0.2">
      <c r="B40" t="s">
        <v>57</v>
      </c>
      <c r="C40" s="2" t="s">
        <v>257</v>
      </c>
    </row>
    <row r="41" spans="1:8" x14ac:dyDescent="0.2">
      <c r="B41" t="s">
        <v>57</v>
      </c>
      <c r="C41" s="2" t="s">
        <v>258</v>
      </c>
    </row>
    <row r="42" spans="1:8" x14ac:dyDescent="0.2">
      <c r="B42" t="s">
        <v>111</v>
      </c>
      <c r="C42" s="2" t="s">
        <v>259</v>
      </c>
      <c r="D42" s="1" t="s">
        <v>180</v>
      </c>
      <c r="E42" s="35" t="s">
        <v>188</v>
      </c>
    </row>
    <row r="43" spans="1:8" x14ac:dyDescent="0.2">
      <c r="B43" t="s">
        <v>111</v>
      </c>
      <c r="C43" s="2" t="s">
        <v>260</v>
      </c>
      <c r="D43" s="1" t="s">
        <v>180</v>
      </c>
      <c r="E43" s="1" t="s">
        <v>188</v>
      </c>
    </row>
    <row r="46" spans="1:8" s="26" customFormat="1" x14ac:dyDescent="0.2">
      <c r="A46" s="73"/>
      <c r="B46" s="28" t="s">
        <v>261</v>
      </c>
      <c r="C46" s="23"/>
      <c r="D46" s="24"/>
      <c r="E46" s="23"/>
      <c r="F46" s="25"/>
    </row>
    <row r="47" spans="1:8" s="29" customFormat="1" x14ac:dyDescent="0.2">
      <c r="A47" s="31"/>
      <c r="B47" s="29" t="s">
        <v>262</v>
      </c>
      <c r="C47" s="30"/>
      <c r="D47" s="31"/>
      <c r="E47" s="31" t="s">
        <v>175</v>
      </c>
      <c r="H47" s="29" t="s">
        <v>263</v>
      </c>
    </row>
    <row r="48" spans="1:8" s="60" customFormat="1" x14ac:dyDescent="0.2">
      <c r="A48" s="62"/>
      <c r="C48" s="61"/>
      <c r="D48" s="62"/>
      <c r="E48" s="62"/>
    </row>
    <row r="49" spans="1:7" x14ac:dyDescent="0.2">
      <c r="A49" s="74" t="s">
        <v>264</v>
      </c>
      <c r="B49" t="s">
        <v>63</v>
      </c>
      <c r="C49" s="2" t="s">
        <v>265</v>
      </c>
      <c r="D49" s="1" t="s">
        <v>180</v>
      </c>
      <c r="E49" s="35" t="s">
        <v>105</v>
      </c>
    </row>
    <row r="50" spans="1:7" x14ac:dyDescent="0.2">
      <c r="B50" t="s">
        <v>92</v>
      </c>
      <c r="C50" s="2" t="s">
        <v>266</v>
      </c>
      <c r="E50" s="1" t="s">
        <v>137</v>
      </c>
    </row>
    <row r="51" spans="1:7" x14ac:dyDescent="0.2">
      <c r="B51" t="s">
        <v>92</v>
      </c>
      <c r="C51" s="2" t="s">
        <v>267</v>
      </c>
      <c r="E51" s="1" t="s">
        <v>137</v>
      </c>
    </row>
    <row r="52" spans="1:7" x14ac:dyDescent="0.2">
      <c r="B52" s="33" t="s">
        <v>79</v>
      </c>
      <c r="C52" s="40" t="s">
        <v>268</v>
      </c>
      <c r="D52" s="35"/>
      <c r="E52" s="35" t="s">
        <v>241</v>
      </c>
    </row>
    <row r="53" spans="1:7" x14ac:dyDescent="0.2">
      <c r="B53" s="33" t="s">
        <v>79</v>
      </c>
      <c r="C53" s="34" t="s">
        <v>269</v>
      </c>
      <c r="D53" s="35"/>
      <c r="E53" s="35"/>
    </row>
    <row r="54" spans="1:7" s="60" customFormat="1" x14ac:dyDescent="0.2">
      <c r="A54" s="62"/>
      <c r="C54" s="61"/>
      <c r="D54" s="62"/>
      <c r="E54" s="62"/>
    </row>
    <row r="55" spans="1:7" s="60" customFormat="1" x14ac:dyDescent="0.2">
      <c r="A55" s="62"/>
      <c r="C55" s="61"/>
      <c r="D55" s="62"/>
      <c r="E55" s="62"/>
    </row>
    <row r="56" spans="1:7" s="60" customFormat="1" x14ac:dyDescent="0.2">
      <c r="A56" s="62"/>
      <c r="C56" s="61"/>
      <c r="D56" s="62"/>
      <c r="E56" s="62"/>
    </row>
    <row r="57" spans="1:7" s="60" customFormat="1" x14ac:dyDescent="0.2">
      <c r="A57" s="62"/>
      <c r="C57" s="61"/>
      <c r="D57" s="62"/>
      <c r="E57" s="62"/>
    </row>
    <row r="58" spans="1:7" s="60" customFormat="1" x14ac:dyDescent="0.2">
      <c r="A58" s="62"/>
      <c r="C58" s="61"/>
      <c r="D58" s="62"/>
      <c r="E58" s="62"/>
    </row>
    <row r="59" spans="1:7" s="60" customFormat="1" x14ac:dyDescent="0.2">
      <c r="A59" s="62"/>
      <c r="C59" s="61"/>
      <c r="D59" s="62"/>
      <c r="E59" s="62"/>
    </row>
    <row r="60" spans="1:7" x14ac:dyDescent="0.2">
      <c r="B60" t="s">
        <v>270</v>
      </c>
    </row>
    <row r="62" spans="1:7" x14ac:dyDescent="0.2">
      <c r="B62" t="s">
        <v>79</v>
      </c>
      <c r="C62" s="41" t="s">
        <v>271</v>
      </c>
      <c r="G62" s="41" t="s">
        <v>272</v>
      </c>
    </row>
    <row r="63" spans="1:7" x14ac:dyDescent="0.2">
      <c r="B63" t="s">
        <v>79</v>
      </c>
      <c r="C63" s="41" t="s">
        <v>273</v>
      </c>
      <c r="F63" t="s">
        <v>274</v>
      </c>
    </row>
    <row r="64" spans="1:7" x14ac:dyDescent="0.2">
      <c r="B64" t="s">
        <v>79</v>
      </c>
      <c r="C64" s="41" t="s">
        <v>275</v>
      </c>
      <c r="F64" t="s">
        <v>274</v>
      </c>
    </row>
    <row r="65" spans="1:7" x14ac:dyDescent="0.2">
      <c r="B65" t="s">
        <v>79</v>
      </c>
      <c r="C65" s="2" t="s">
        <v>276</v>
      </c>
    </row>
    <row r="66" spans="1:7" s="7" customFormat="1" x14ac:dyDescent="0.2">
      <c r="A66" s="4"/>
      <c r="B66" s="7" t="s">
        <v>277</v>
      </c>
      <c r="C66" s="46" t="s">
        <v>278</v>
      </c>
      <c r="D66" s="4"/>
      <c r="E66" s="4"/>
    </row>
    <row r="67" spans="1:7" s="7" customFormat="1" ht="32" x14ac:dyDescent="0.2">
      <c r="A67" s="4"/>
      <c r="B67" s="7" t="s">
        <v>277</v>
      </c>
      <c r="C67" s="47" t="s">
        <v>279</v>
      </c>
      <c r="D67" s="4"/>
      <c r="E67" s="4" t="s">
        <v>181</v>
      </c>
      <c r="G67" s="48" t="s">
        <v>280</v>
      </c>
    </row>
    <row r="68" spans="1:7" x14ac:dyDescent="0.2">
      <c r="B68" t="s">
        <v>22</v>
      </c>
      <c r="C68" s="2" t="s">
        <v>281</v>
      </c>
      <c r="D68" s="1" t="s">
        <v>180</v>
      </c>
      <c r="E68" s="35"/>
    </row>
    <row r="69" spans="1:7" x14ac:dyDescent="0.2">
      <c r="B69" t="s">
        <v>63</v>
      </c>
      <c r="C69" s="38" t="s">
        <v>282</v>
      </c>
      <c r="G69" s="39" t="s">
        <v>283</v>
      </c>
    </row>
    <row r="81" spans="2:5" x14ac:dyDescent="0.2">
      <c r="B81" s="33" t="s">
        <v>284</v>
      </c>
      <c r="C81" s="44" t="s">
        <v>285</v>
      </c>
      <c r="D81" s="35"/>
      <c r="E81" s="35" t="s">
        <v>241</v>
      </c>
    </row>
    <row r="82" spans="2:5" x14ac:dyDescent="0.2">
      <c r="B82" s="33" t="s">
        <v>22</v>
      </c>
      <c r="C82" s="44" t="s">
        <v>286</v>
      </c>
      <c r="D82" s="35"/>
      <c r="E82" s="35" t="s">
        <v>241</v>
      </c>
    </row>
    <row r="83" spans="2:5" x14ac:dyDescent="0.2">
      <c r="B83" t="s">
        <v>12</v>
      </c>
      <c r="C83" s="42" t="s">
        <v>287</v>
      </c>
      <c r="E83" s="1" t="s">
        <v>288</v>
      </c>
    </row>
    <row r="84" spans="2:5" x14ac:dyDescent="0.2">
      <c r="B84" t="s">
        <v>12</v>
      </c>
      <c r="C84" s="42" t="s">
        <v>289</v>
      </c>
    </row>
    <row r="85" spans="2:5" x14ac:dyDescent="0.2">
      <c r="B85" s="33" t="s">
        <v>290</v>
      </c>
      <c r="C85" s="44" t="s">
        <v>291</v>
      </c>
      <c r="D85" s="35"/>
      <c r="E85" s="35" t="s">
        <v>241</v>
      </c>
    </row>
    <row r="86" spans="2:5" x14ac:dyDescent="0.2">
      <c r="B86" s="33" t="s">
        <v>92</v>
      </c>
      <c r="C86" s="44" t="s">
        <v>292</v>
      </c>
      <c r="D86" s="35"/>
      <c r="E86" s="35" t="s">
        <v>241</v>
      </c>
    </row>
    <row r="87" spans="2:5" x14ac:dyDescent="0.2">
      <c r="B87" t="s">
        <v>22</v>
      </c>
      <c r="C87" s="42" t="s">
        <v>293</v>
      </c>
    </row>
    <row r="88" spans="2:5" x14ac:dyDescent="0.2">
      <c r="B88" t="s">
        <v>22</v>
      </c>
      <c r="C88" s="42" t="s">
        <v>294</v>
      </c>
    </row>
    <row r="89" spans="2:5" x14ac:dyDescent="0.2">
      <c r="B89" t="s">
        <v>22</v>
      </c>
      <c r="C89" s="42" t="s">
        <v>295</v>
      </c>
    </row>
    <row r="90" spans="2:5" x14ac:dyDescent="0.2">
      <c r="B90" t="s">
        <v>22</v>
      </c>
      <c r="C90" s="42" t="s">
        <v>296</v>
      </c>
    </row>
    <row r="91" spans="2:5" x14ac:dyDescent="0.2">
      <c r="B91" t="s">
        <v>38</v>
      </c>
      <c r="C91" s="42" t="s">
        <v>297</v>
      </c>
    </row>
    <row r="92" spans="2:5" x14ac:dyDescent="0.2">
      <c r="B92" s="32" t="s">
        <v>38</v>
      </c>
      <c r="C92" s="43" t="s">
        <v>298</v>
      </c>
    </row>
    <row r="93" spans="2:5" x14ac:dyDescent="0.2">
      <c r="B93" t="s">
        <v>22</v>
      </c>
      <c r="C93" s="42" t="s">
        <v>299</v>
      </c>
      <c r="E93" s="1" t="s">
        <v>181</v>
      </c>
    </row>
  </sheetData>
  <sortState xmlns:xlrd2="http://schemas.microsoft.com/office/spreadsheetml/2017/richdata2" ref="B20:G44">
    <sortCondition ref="B20:B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77E2-47D5-4A81-8667-4EB284304ED8}">
  <sheetPr>
    <pageSetUpPr fitToPage="1"/>
  </sheetPr>
  <dimension ref="A1:G23"/>
  <sheetViews>
    <sheetView topLeftCell="B11" zoomScale="103" zoomScaleNormal="210" workbookViewId="0">
      <selection activeCell="G15" sqref="G15"/>
    </sheetView>
  </sheetViews>
  <sheetFormatPr baseColWidth="10" defaultColWidth="9.1640625" defaultRowHeight="15" x14ac:dyDescent="0.2"/>
  <cols>
    <col min="1" max="1" width="5.5" style="67" customWidth="1"/>
    <col min="2" max="2" width="12.5" style="67" customWidth="1"/>
    <col min="3" max="3" width="32.5" style="64" customWidth="1"/>
    <col min="4" max="4" width="32" style="64" customWidth="1"/>
    <col min="5" max="5" width="11.5" style="67" customWidth="1"/>
    <col min="6" max="7" width="32.5" style="64" customWidth="1"/>
    <col min="8" max="16384" width="9.1640625" style="64"/>
  </cols>
  <sheetData>
    <row r="1" spans="1:7" ht="29.25" customHeight="1" x14ac:dyDescent="0.2">
      <c r="A1" s="69" t="s">
        <v>300</v>
      </c>
      <c r="C1" s="63"/>
      <c r="D1" s="63"/>
      <c r="F1" s="63"/>
      <c r="G1" s="63"/>
    </row>
    <row r="2" spans="1:7" x14ac:dyDescent="0.2">
      <c r="A2" s="68" t="s">
        <v>301</v>
      </c>
      <c r="B2" s="68" t="s">
        <v>302</v>
      </c>
      <c r="C2" s="71" t="s">
        <v>303</v>
      </c>
      <c r="D2" s="71" t="s">
        <v>304</v>
      </c>
      <c r="E2" s="68" t="s">
        <v>302</v>
      </c>
      <c r="F2" s="72" t="s">
        <v>305</v>
      </c>
      <c r="G2" s="72" t="s">
        <v>306</v>
      </c>
    </row>
    <row r="3" spans="1:7" ht="17" x14ac:dyDescent="0.2">
      <c r="A3" s="67">
        <v>9</v>
      </c>
      <c r="B3" s="70">
        <v>46076</v>
      </c>
      <c r="C3" s="65" t="s">
        <v>307</v>
      </c>
      <c r="D3" s="66" t="s">
        <v>308</v>
      </c>
      <c r="E3" s="70">
        <v>46078</v>
      </c>
      <c r="F3" s="65" t="s">
        <v>309</v>
      </c>
      <c r="G3" s="65" t="s">
        <v>309</v>
      </c>
    </row>
    <row r="4" spans="1:7" ht="17" x14ac:dyDescent="0.2">
      <c r="A4" s="67">
        <f>A3+1</f>
        <v>10</v>
      </c>
      <c r="B4" s="70">
        <f>B3+7</f>
        <v>46083</v>
      </c>
      <c r="C4" s="66" t="s">
        <v>310</v>
      </c>
      <c r="D4" s="66" t="s">
        <v>310</v>
      </c>
      <c r="E4" s="70">
        <f>E3+7</f>
        <v>46085</v>
      </c>
      <c r="F4" s="65" t="s">
        <v>307</v>
      </c>
      <c r="G4" s="66" t="s">
        <v>311</v>
      </c>
    </row>
    <row r="5" spans="1:7" ht="17" x14ac:dyDescent="0.2">
      <c r="A5" s="67">
        <f t="shared" ref="A5:A23" si="0">A4+1</f>
        <v>11</v>
      </c>
      <c r="B5" s="70">
        <f>B4+7</f>
        <v>46090</v>
      </c>
      <c r="C5" s="66" t="s">
        <v>308</v>
      </c>
      <c r="D5" s="65" t="s">
        <v>307</v>
      </c>
      <c r="E5" s="70">
        <f>E4+7</f>
        <v>46092</v>
      </c>
      <c r="F5" s="66" t="s">
        <v>311</v>
      </c>
      <c r="G5" s="65" t="s">
        <v>307</v>
      </c>
    </row>
    <row r="6" spans="1:7" ht="34" x14ac:dyDescent="0.2">
      <c r="A6" s="67">
        <f t="shared" si="0"/>
        <v>12</v>
      </c>
      <c r="B6" s="70">
        <f t="shared" ref="B6:B23" si="1">B5+7</f>
        <v>46097</v>
      </c>
      <c r="C6" s="65" t="s">
        <v>312</v>
      </c>
      <c r="D6" s="66" t="s">
        <v>308</v>
      </c>
      <c r="E6" s="70">
        <f t="shared" ref="E6:E23" si="2">E5+7</f>
        <v>46099</v>
      </c>
      <c r="F6" s="66" t="s">
        <v>313</v>
      </c>
      <c r="G6" s="66" t="s">
        <v>313</v>
      </c>
    </row>
    <row r="7" spans="1:7" ht="34" x14ac:dyDescent="0.2">
      <c r="A7" s="67">
        <f t="shared" si="0"/>
        <v>13</v>
      </c>
      <c r="B7" s="70">
        <f t="shared" si="1"/>
        <v>46104</v>
      </c>
      <c r="C7" s="66" t="s">
        <v>308</v>
      </c>
      <c r="D7" s="65" t="s">
        <v>312</v>
      </c>
      <c r="E7" s="70">
        <f t="shared" si="2"/>
        <v>46106</v>
      </c>
      <c r="F7" s="65" t="s">
        <v>309</v>
      </c>
      <c r="G7" s="65" t="s">
        <v>314</v>
      </c>
    </row>
    <row r="8" spans="1:7" ht="17" x14ac:dyDescent="0.2">
      <c r="A8" s="67">
        <f t="shared" si="0"/>
        <v>14</v>
      </c>
      <c r="B8" s="70">
        <f t="shared" si="1"/>
        <v>46111</v>
      </c>
      <c r="C8" s="65" t="s">
        <v>315</v>
      </c>
      <c r="D8" s="66" t="s">
        <v>308</v>
      </c>
      <c r="E8" s="70">
        <f t="shared" si="2"/>
        <v>46113</v>
      </c>
      <c r="F8" s="65" t="s">
        <v>315</v>
      </c>
      <c r="G8" s="66" t="s">
        <v>311</v>
      </c>
    </row>
    <row r="9" spans="1:7" ht="17" x14ac:dyDescent="0.2">
      <c r="A9" s="67">
        <f t="shared" si="0"/>
        <v>15</v>
      </c>
      <c r="B9" s="70">
        <f t="shared" si="1"/>
        <v>46118</v>
      </c>
      <c r="C9" s="66" t="s">
        <v>308</v>
      </c>
      <c r="D9" s="65" t="s">
        <v>315</v>
      </c>
      <c r="E9" s="70">
        <f t="shared" si="2"/>
        <v>46120</v>
      </c>
      <c r="F9" s="66" t="s">
        <v>311</v>
      </c>
      <c r="G9" s="65" t="s">
        <v>315</v>
      </c>
    </row>
    <row r="10" spans="1:7" ht="17" x14ac:dyDescent="0.2">
      <c r="A10" s="67">
        <f t="shared" si="0"/>
        <v>16</v>
      </c>
      <c r="B10" s="70">
        <f t="shared" si="1"/>
        <v>46125</v>
      </c>
      <c r="C10" s="66" t="s">
        <v>316</v>
      </c>
      <c r="D10" s="66" t="s">
        <v>316</v>
      </c>
      <c r="E10" s="70">
        <f t="shared" si="2"/>
        <v>46127</v>
      </c>
      <c r="F10" s="66" t="s">
        <v>316</v>
      </c>
      <c r="G10" s="66" t="s">
        <v>316</v>
      </c>
    </row>
    <row r="11" spans="1:7" ht="17" x14ac:dyDescent="0.2">
      <c r="A11" s="67">
        <f t="shared" si="0"/>
        <v>17</v>
      </c>
      <c r="B11" s="70">
        <f t="shared" si="1"/>
        <v>46132</v>
      </c>
      <c r="C11" s="66" t="s">
        <v>317</v>
      </c>
      <c r="D11" s="66" t="s">
        <v>317</v>
      </c>
      <c r="E11" s="70">
        <f t="shared" si="2"/>
        <v>46134</v>
      </c>
      <c r="F11" s="66" t="s">
        <v>317</v>
      </c>
      <c r="G11" s="66" t="s">
        <v>317</v>
      </c>
    </row>
    <row r="12" spans="1:7" ht="17" x14ac:dyDescent="0.2">
      <c r="A12" s="67">
        <f t="shared" si="0"/>
        <v>18</v>
      </c>
      <c r="B12" s="70">
        <f t="shared" si="1"/>
        <v>46139</v>
      </c>
      <c r="C12" s="66" t="s">
        <v>317</v>
      </c>
      <c r="D12" s="66" t="s">
        <v>317</v>
      </c>
      <c r="E12" s="70">
        <f t="shared" si="2"/>
        <v>46141</v>
      </c>
      <c r="F12" s="66" t="s">
        <v>317</v>
      </c>
      <c r="G12" s="66" t="s">
        <v>317</v>
      </c>
    </row>
    <row r="13" spans="1:7" ht="34" x14ac:dyDescent="0.2">
      <c r="A13" s="67">
        <f t="shared" si="0"/>
        <v>19</v>
      </c>
      <c r="B13" s="70">
        <f t="shared" si="1"/>
        <v>46146</v>
      </c>
      <c r="C13" s="65" t="s">
        <v>326</v>
      </c>
      <c r="D13" s="66" t="s">
        <v>308</v>
      </c>
      <c r="E13" s="70">
        <f t="shared" si="2"/>
        <v>46148</v>
      </c>
      <c r="F13" s="65" t="s">
        <v>326</v>
      </c>
      <c r="G13" s="66" t="s">
        <v>311</v>
      </c>
    </row>
    <row r="14" spans="1:7" ht="34" x14ac:dyDescent="0.2">
      <c r="A14" s="67">
        <f t="shared" si="0"/>
        <v>20</v>
      </c>
      <c r="B14" s="70">
        <f t="shared" si="1"/>
        <v>46153</v>
      </c>
      <c r="C14" s="66" t="s">
        <v>308</v>
      </c>
      <c r="D14" s="65" t="s">
        <v>326</v>
      </c>
      <c r="E14" s="70">
        <f t="shared" si="2"/>
        <v>46155</v>
      </c>
      <c r="F14" s="66" t="s">
        <v>311</v>
      </c>
      <c r="G14" s="65" t="s">
        <v>326</v>
      </c>
    </row>
    <row r="15" spans="1:7" ht="17" x14ac:dyDescent="0.2">
      <c r="A15" s="67">
        <f t="shared" si="0"/>
        <v>21</v>
      </c>
      <c r="B15" s="70">
        <f t="shared" si="1"/>
        <v>46160</v>
      </c>
      <c r="C15" s="65" t="s">
        <v>318</v>
      </c>
      <c r="D15" s="66" t="s">
        <v>308</v>
      </c>
      <c r="E15" s="70">
        <f t="shared" si="2"/>
        <v>46162</v>
      </c>
      <c r="F15" s="65" t="s">
        <v>318</v>
      </c>
      <c r="G15" s="66" t="s">
        <v>311</v>
      </c>
    </row>
    <row r="16" spans="1:7" ht="34" x14ac:dyDescent="0.2">
      <c r="A16" s="67">
        <f t="shared" si="0"/>
        <v>22</v>
      </c>
      <c r="B16" s="70">
        <f t="shared" si="1"/>
        <v>46167</v>
      </c>
      <c r="C16" s="66" t="s">
        <v>319</v>
      </c>
      <c r="D16" s="66" t="s">
        <v>319</v>
      </c>
      <c r="E16" s="70">
        <f t="shared" si="2"/>
        <v>46169</v>
      </c>
      <c r="F16" s="65" t="s">
        <v>320</v>
      </c>
      <c r="G16" s="65" t="s">
        <v>320</v>
      </c>
    </row>
    <row r="17" spans="1:7" ht="17" x14ac:dyDescent="0.2">
      <c r="A17" s="67">
        <f t="shared" si="0"/>
        <v>23</v>
      </c>
      <c r="B17" s="70">
        <f t="shared" si="1"/>
        <v>46174</v>
      </c>
      <c r="C17" s="66" t="s">
        <v>308</v>
      </c>
      <c r="D17" s="65" t="s">
        <v>318</v>
      </c>
      <c r="E17" s="70">
        <f t="shared" si="2"/>
        <v>46176</v>
      </c>
      <c r="F17" s="66" t="s">
        <v>311</v>
      </c>
      <c r="G17" s="65" t="s">
        <v>318</v>
      </c>
    </row>
    <row r="18" spans="1:7" ht="34" x14ac:dyDescent="0.2">
      <c r="A18" s="67">
        <f t="shared" si="0"/>
        <v>24</v>
      </c>
      <c r="B18" s="70">
        <f t="shared" si="1"/>
        <v>46181</v>
      </c>
      <c r="C18" s="65" t="s">
        <v>321</v>
      </c>
      <c r="D18" s="66" t="s">
        <v>308</v>
      </c>
      <c r="E18" s="70">
        <f t="shared" si="2"/>
        <v>46183</v>
      </c>
      <c r="F18" s="65" t="s">
        <v>321</v>
      </c>
      <c r="G18" s="66" t="s">
        <v>311</v>
      </c>
    </row>
    <row r="19" spans="1:7" ht="34" x14ac:dyDescent="0.2">
      <c r="A19" s="67">
        <f t="shared" si="0"/>
        <v>25</v>
      </c>
      <c r="B19" s="70">
        <f t="shared" si="1"/>
        <v>46188</v>
      </c>
      <c r="C19" s="66" t="s">
        <v>308</v>
      </c>
      <c r="D19" s="65" t="s">
        <v>321</v>
      </c>
      <c r="E19" s="70">
        <f t="shared" si="2"/>
        <v>46190</v>
      </c>
      <c r="F19" s="66" t="s">
        <v>311</v>
      </c>
      <c r="G19" s="65" t="s">
        <v>321</v>
      </c>
    </row>
    <row r="20" spans="1:7" ht="34" x14ac:dyDescent="0.2">
      <c r="A20" s="67">
        <f t="shared" si="0"/>
        <v>26</v>
      </c>
      <c r="B20" s="70">
        <f t="shared" si="1"/>
        <v>46195</v>
      </c>
      <c r="C20" s="65" t="s">
        <v>322</v>
      </c>
      <c r="D20" s="66" t="s">
        <v>308</v>
      </c>
      <c r="E20" s="70">
        <f t="shared" si="2"/>
        <v>46197</v>
      </c>
      <c r="F20" s="65" t="s">
        <v>323</v>
      </c>
      <c r="G20" s="66" t="s">
        <v>311</v>
      </c>
    </row>
    <row r="21" spans="1:7" ht="17" x14ac:dyDescent="0.2">
      <c r="A21" s="67">
        <f t="shared" si="0"/>
        <v>27</v>
      </c>
      <c r="B21" s="70">
        <f t="shared" si="1"/>
        <v>46202</v>
      </c>
      <c r="C21" s="66" t="s">
        <v>308</v>
      </c>
      <c r="D21" s="65" t="s">
        <v>322</v>
      </c>
      <c r="E21" s="70">
        <f t="shared" si="2"/>
        <v>46204</v>
      </c>
      <c r="F21" s="66" t="s">
        <v>311</v>
      </c>
      <c r="G21" s="66" t="s">
        <v>311</v>
      </c>
    </row>
    <row r="22" spans="1:7" ht="34" x14ac:dyDescent="0.2">
      <c r="A22" s="67">
        <f t="shared" si="0"/>
        <v>28</v>
      </c>
      <c r="B22" s="70">
        <f t="shared" si="1"/>
        <v>46209</v>
      </c>
      <c r="C22" s="65" t="s">
        <v>323</v>
      </c>
      <c r="D22" s="66" t="s">
        <v>308</v>
      </c>
      <c r="E22" s="70">
        <f t="shared" si="2"/>
        <v>46211</v>
      </c>
      <c r="F22" s="66" t="s">
        <v>311</v>
      </c>
      <c r="G22" s="65" t="s">
        <v>323</v>
      </c>
    </row>
    <row r="23" spans="1:7" ht="16" x14ac:dyDescent="0.2">
      <c r="A23" s="67">
        <f t="shared" si="0"/>
        <v>29</v>
      </c>
      <c r="B23" s="70">
        <f t="shared" si="1"/>
        <v>46216</v>
      </c>
      <c r="C23" s="64" t="s">
        <v>324</v>
      </c>
      <c r="D23" s="64" t="s">
        <v>324</v>
      </c>
      <c r="E23" s="70">
        <f t="shared" si="2"/>
        <v>46218</v>
      </c>
      <c r="F23" s="64" t="s">
        <v>325</v>
      </c>
      <c r="G23" s="64" t="s">
        <v>324</v>
      </c>
    </row>
  </sheetData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4889A54362E5041AAF71EABF961D0D3" ma:contentTypeVersion="14" ma:contentTypeDescription="Ein neues Dokument erstellen." ma:contentTypeScope="" ma:versionID="83969f25538e7b351548607ea7950f28">
  <xsd:schema xmlns:xsd="http://www.w3.org/2001/XMLSchema" xmlns:xs="http://www.w3.org/2001/XMLSchema" xmlns:p="http://schemas.microsoft.com/office/2006/metadata/properties" xmlns:ns2="38545cd8-0efa-4889-a672-589ab8c7ac8b" xmlns:ns3="c9347828-ed60-443b-9131-aa41d4bc7275" targetNamespace="http://schemas.microsoft.com/office/2006/metadata/properties" ma:root="true" ma:fieldsID="e1613fa7ad3dc0f750233bb7c800e292" ns2:_="" ns3:_="">
    <xsd:import namespace="38545cd8-0efa-4889-a672-589ab8c7ac8b"/>
    <xsd:import namespace="c9347828-ed60-443b-9131-aa41d4bc7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45cd8-0efa-4889-a672-589ab8c7a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be50911-cf5f-4bf3-9307-b8767a5aeb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47828-ed60-443b-9131-aa41d4bc72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b28109c-f591-4425-9f74-0a3c9f23c6c1}" ma:internalName="TaxCatchAll" ma:showField="CatchAllData" ma:web="c9347828-ed60-443b-9131-aa41d4bc7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545cd8-0efa-4889-a672-589ab8c7ac8b">
      <Terms xmlns="http://schemas.microsoft.com/office/infopath/2007/PartnerControls"/>
    </lcf76f155ced4ddcb4097134ff3c332f>
    <TaxCatchAll xmlns="c9347828-ed60-443b-9131-aa41d4bc7275" xsi:nil="true"/>
  </documentManagement>
</p:properties>
</file>

<file path=customXml/itemProps1.xml><?xml version="1.0" encoding="utf-8"?>
<ds:datastoreItem xmlns:ds="http://schemas.openxmlformats.org/officeDocument/2006/customXml" ds:itemID="{6FBA7AF4-38D8-4DA1-AC76-439D6D05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45cd8-0efa-4889-a672-589ab8c7ac8b"/>
    <ds:schemaRef ds:uri="c9347828-ed60-443b-9131-aa41d4bc7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579E3C-5D99-4E75-AA08-0D8243C707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CC6A17-A0A5-452F-93FD-11FABA50A10F}">
  <ds:schemaRefs>
    <ds:schemaRef ds:uri="http://purl.org/dc/elements/1.1/"/>
    <ds:schemaRef ds:uri="c9347828-ed60-443b-9131-aa41d4bc7275"/>
    <ds:schemaRef ds:uri="http://www.w3.org/XML/1998/namespace"/>
    <ds:schemaRef ds:uri="http://schemas.openxmlformats.org/package/2006/metadata/core-properties"/>
    <ds:schemaRef ds:uri="38545cd8-0efa-4889-a672-589ab8c7ac8b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03b5e7a1-cb09-4417-9e1a-c686b440b2c5}" enabled="0" method="" siteId="{03b5e7a1-cb09-4417-9e1a-c686b440b2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Stoffplan</vt:lpstr>
      <vt:lpstr>Praktikasammlung</vt:lpstr>
      <vt:lpstr>Praktika FS26</vt:lpstr>
      <vt:lpstr>'Praktika FS26'!Print_Area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Brunner (KFR)</cp:lastModifiedBy>
  <cp:revision/>
  <dcterms:created xsi:type="dcterms:W3CDTF">2023-11-28T10:37:21Z</dcterms:created>
  <dcterms:modified xsi:type="dcterms:W3CDTF">2026-04-21T16:21:53Z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0x01010094889A54362E5041AAF71EABF961D0D3</vt:lpwstr>
  </property>
  <property fmtid="{D5CDD505-2E9C-101B-9397-08002B2CF9AE}" pid="3" name="MediaServiceImageTags">
    <vt:lpwstr/>
  </property>
</Properties>
</file>