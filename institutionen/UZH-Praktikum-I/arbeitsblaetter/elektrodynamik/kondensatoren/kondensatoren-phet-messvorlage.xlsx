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oris Keller KFR\Repos\Physik-Unterlagen\institutionen\UZH-Praktikum-I\arbeitsblaetter\elektrodynamik\kondensatoren\"/>
    </mc:Choice>
  </mc:AlternateContent>
  <xr:revisionPtr revIDLastSave="0" documentId="13_ncr:1_{E011EB22-A1D8-453E-8DE2-A60D6F3CC89A}" xr6:coauthVersionLast="47" xr6:coauthVersionMax="47" xr10:uidLastSave="{00000000-0000-0000-0000-000000000000}"/>
  <bookViews>
    <workbookView xWindow="-98" yWindow="-98" windowWidth="21795" windowHeight="12975" activeTab="3" xr2:uid="{00000000-000D-0000-FFFF-FFFF00000000}"/>
  </bookViews>
  <sheets>
    <sheet name="Anleitung" sheetId="1" r:id="rId1"/>
    <sheet name="Teil 1 - U und Q" sheetId="2" r:id="rId2"/>
    <sheet name="Teil 2a - A und C" sheetId="3" r:id="rId3"/>
    <sheet name="Teil 2b - d und 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4" l="1"/>
  <c r="F11" i="4"/>
  <c r="F10" i="4"/>
  <c r="F9" i="4"/>
  <c r="F8" i="4"/>
  <c r="F7" i="4"/>
  <c r="F12" i="3"/>
  <c r="F11" i="3"/>
  <c r="F10" i="3"/>
  <c r="F9" i="3"/>
  <c r="F8" i="3"/>
  <c r="F7" i="3"/>
  <c r="C30" i="4" a="1"/>
  <c r="C30" i="4" s="1"/>
  <c r="C30" i="3"/>
  <c r="D30" i="3" s="1"/>
  <c r="C30" i="2"/>
  <c r="D30" i="2" s="1"/>
  <c r="C14" i="3" l="1"/>
  <c r="C14" i="4"/>
  <c r="C31" i="4" a="1"/>
  <c r="C31" i="4" s="1"/>
  <c r="C3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Loris Keller KFR</author>
  </authors>
  <commentList>
    <comment ref="D4" authorId="0" shapeId="0" xr:uid="{14021083-DEF3-47DB-911A-A97102427ED2}">
      <text>
        <r>
          <rPr>
            <b/>
            <sz val="9"/>
            <color indexed="81"/>
            <rFont val="Tahoma"/>
            <charset val="1"/>
          </rPr>
          <t>Loris Keller KFR:</t>
        </r>
        <r>
          <rPr>
            <sz val="9"/>
            <color indexed="81"/>
            <rFont val="Tahoma"/>
            <charset val="1"/>
          </rPr>
          <t xml:space="preserve">
Eingabewert: konstant gehaltener Plattenabstand d in mm. Wird für die Berechnung von ε₀ in allen Messungen verwendet.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Loris Keller KFR</author>
  </authors>
  <commentList>
    <comment ref="D4" authorId="0" shapeId="0" xr:uid="{CE1CB361-91F4-4A3A-B303-4B5C7B3FF80D}">
      <text>
        <r>
          <rPr>
            <b/>
            <sz val="9"/>
            <color indexed="81"/>
            <rFont val="Tahoma"/>
            <charset val="1"/>
          </rPr>
          <t>Loris Keller KFR:</t>
        </r>
        <r>
          <rPr>
            <sz val="9"/>
            <color indexed="81"/>
            <rFont val="Tahoma"/>
            <charset val="1"/>
          </rPr>
          <t xml:space="preserve">
Eingabewert: konstant gehaltene Plattenfläche A in mm². Wird für die Berechnung von ε₀ in allen Messungen verwendet.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<sst xmlns="http://schemas.openxmlformats.org/spreadsheetml/2006/main" count="31" uniqueCount="23">
  <si>
    <t>Kapazität mit der PhET-Simulation bestimmen — Messvorlage</t>
  </si>
  <si>
    <t>Simulation: PhET „Capacitor Lab: Basics“ (https://phet.colorado.edu/de/simulations/capacitor-lab-basics)</t>
  </si>
  <si>
    <t>Nur die weissen Zellen ausfüllen — Diagramme und Trendlinien aktualisieren sich automatisch.</t>
  </si>
  <si>
    <t>Fläche A (konstant):</t>
  </si>
  <si>
    <t>Abstand d (konstant):</t>
  </si>
  <si>
    <t>Messung Nr.</t>
  </si>
  <si>
    <t>Spannung U (V)</t>
  </si>
  <si>
    <t>Ladung Q (pC)</t>
  </si>
  <si>
    <t>Fläche A (mm²)</t>
  </si>
  <si>
    <t>Kapazität C (pF)</t>
  </si>
  <si>
    <t>Abstand d (mm)</t>
  </si>
  <si>
    <t>Teil 1 (Blatt „Teil 1 - U und Q“): Geometrie (Fläche A, Abstand d) konstant halten, Spannung U in mehreren Schritten verändern, jeweils die Ladung Q ablesen und eintragen. Die exakte Spannung zwischen den beiden Platten kann mit dem Voltmeter der Simulation abgelesen werden (Voltmeter einschalten und die beiden Messspitzen an die obere und die untere Platte halten). Untersuche anschliessend im Diagramm, wie Q und U zusammenhängen.</t>
  </si>
  <si>
    <t>Teil 1:  U und Q  (Geometrie konstant)</t>
  </si>
  <si>
    <t>Teil 2a:  A und C  (d konstant)</t>
  </si>
  <si>
    <t>Teil 2b:  d und C  (A konstant)</t>
  </si>
  <si>
    <t>Mittelwert ε₀ aus den Messungen (ε₀ = C·d/A):</t>
  </si>
  <si>
    <t>F/m</t>
  </si>
  <si>
    <t>mm</t>
  </si>
  <si>
    <t>mm²</t>
  </si>
  <si>
    <t>Teil 2a (Blatt „Teil 2a - A und C“): Abstand d konstant halten und in die dafür vorgesehene Zelle eintragen, Plattenfläche A verändern, die von der Simulation angezeigte Kapazität C ablesen und eintragen. Beurteile im Diagramm, wie C von A abhängt. Aus deinem notierten d und den Messwerten berechnet die Tabelle automatisch einen Mittelwert für ε₀.</t>
  </si>
  <si>
    <t>Teil 2b (Blatt „Teil 2b - d und C“): Fläche A konstant halten und in die dafür vorgesehene Zelle eintragen, Plattenabstand d verändern, C ablesen und eintragen. Beurteile im Diagramm, wie C vom Abstand d abhängt. Auch hier wird aus deinem notierten A automatisch ein Mittelwert für ε₀ berechnet.</t>
  </si>
  <si>
    <t>Die berechneten Mittelwerte für ε₀ stehen jeweils unter der Messtabelle. Vergleicht sie im Arbeitsblatt mit dem Literaturwert.</t>
  </si>
  <si>
    <t>ε₀ pro Messung (F/m)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</si>
</sst>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6"/>
      <color rgb="FF183A6B"/>
      <name val="Calibri"/>
    </font>
    <font>
      <i/>
      <sz val="11"/>
      <name val="Calibri"/>
    </font>
    <font>
      <b/>
      <sz val="11"/>
      <color rgb="FFFFFFFF"/>
      <name val="Calibri"/>
    </font>
    <font>
      <b/>
      <sz val="13"/>
      <color rgb="FFFFFFFF"/>
      <name val="Calibri"/>
    </font>
    <font>
      <b/>
      <sz val="11"/>
      <color theme="1"/>
      <name val="Calibri"/>
      <family val="2"/>
      <scheme val="minor"/>
    </font>
    <font>
      <b/>
      <sz val="11"/>
      <color rgb="FF0000FF"/>
      <name val="Calibri"/>
      <family val="2"/>
      <scheme val="minor"/>
    </font>
    <font>
      <sz val="9"/>
      <color indexed="81"/>
      <name val="Tahoma"/>
      <charset val="1"/>
    </font>
    <font>
      <b/>
      <sz val="9"/>
      <color indexed="81"/>
      <name val="Tahoma"/>
      <charset val="1"/>
    </font>
  </fonts>
  <fills count="7">
    <fill>
      <patternFill patternType="none"/>
    </fill>
    <fill>
      <patternFill patternType="gray125"/>
    </fill>
    <fill>
      <patternFill patternType="solid">
        <fgColor rgb="FF2E6F9E"/>
        <bgColor rgb="FF2E6F9E"/>
      </patternFill>
    </fill>
    <fill>
      <patternFill patternType="solid">
        <fgColor rgb="FF1B7F72"/>
        <bgColor rgb="FF1B7F72"/>
      </patternFill>
    </fill>
    <fill>
      <patternFill patternType="solid">
        <fgColor rgb="FF183A6B"/>
        <bgColor indexed="64"/>
      </patternFill>
    </fill>
    <fill>
      <patternFill patternType="solid">
        <fgColor rgb="FFFFFF00"/>
        <bgColor indexed="64"/>
      </patternFill>
    </fill>
    <fill>
      <patternFill patternType="solid">
        <fgColor rgb="FF1B7F7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vertical="top" wrapText="1"/>
    </xf>
    <xf numFmtId="0" fontId="2" fillId="0" borderId="0" xfId="0" applyFont="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horizontal="center" vertical="center"/>
    </xf>
    <xf numFmtId="0" fontId="1" fillId="0" borderId="0" xfId="0" applyFont="1" applyAlignment="1">
      <alignment vertical="top" wrapText="1"/>
    </xf>
    <xf numFmtId="0" fontId="5" fillId="0" borderId="0" xfId="0" applyFont="1"/>
    <xf numFmtId="11" fontId="5" fillId="0" borderId="0" xfId="0" applyNumberFormat="1" applyFont="1"/>
    <xf numFmtId="164" fontId="6" fillId="5" borderId="1" xfId="0" applyNumberFormat="1" applyFont="1" applyFill="1" applyBorder="1" applyAlignment="1">
      <alignment horizontal="center"/>
    </xf>
    <xf numFmtId="0" fontId="3" fillId="6" borderId="0" xfId="0" applyFont="1" applyFill="1" applyAlignment="1">
      <alignment horizontal="center" vertical="center" wrapText="1"/>
    </xf>
    <xf numFmtId="11" fontId="0" fillId="0" borderId="0" xfId="0" applyNumberFormat="1" applyAlignment="1">
      <alignment horizontal="center"/>
    </xf>
    <xf numFmtId="1" fontId="6" fillId="5" borderId="1" xfId="0" applyNumberFormat="1" applyFont="1" applyFill="1" applyBorder="1" applyAlignment="1">
      <alignment horizontal="center"/>
    </xf>
    <xf numFmtId="0" fontId="2" fillId="0" borderId="0" xfId="0" applyFont="1"/>
    <xf numFmtId="0" fontId="0" fillId="0" borderId="0" xfId="0"/>
    <xf numFmtId="0" fontId="4" fillId="4"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sz="1200" b="1">
                <a:solidFill>
                  <a:srgbClr val="183A6B"/>
                </a:solidFill>
              </a:defRPr>
            </a:pPr>
            <a:r>
              <a:rPr lang="en-US"/>
              <a:t>U-Q-Diagramm</a:t>
            </a:r>
          </a:p>
        </c:rich>
      </c:tx>
      <c:overlay val="1"/>
    </c:title>
    <c:autoTitleDeleted val="0"/>
    <c:plotArea>
      <c:layout>
        <c:manualLayout>
          <c:layoutTarget val="inner"/>
          <c:xMode val="edge"/>
          <c:yMode val="edge"/>
          <c:x val="0.18085106382978725"/>
          <c:y val="0.13793103448275862"/>
          <c:w val="0.73404255319148937"/>
          <c:h val="0.63793103448275867"/>
        </c:manualLayout>
      </c:layout>
      <c:scatterChart>
        <c:scatterStyle val="lineMarker"/>
        <c:varyColors val="1"/>
        <c:ser>
          <c:idx val="0"/>
          <c:order val="0"/>
          <c:tx>
            <c:v>Messwerte</c:v>
          </c:tx>
          <c:spPr>
            <a:ln>
              <a:noFill/>
              <a:prstDash val="solid"/>
            </a:ln>
          </c:spPr>
          <c:marker>
            <c:symbol val="circle"/>
            <c:size val="5"/>
            <c:spPr>
              <a:ln>
                <a:prstDash val="solid"/>
              </a:ln>
            </c:spPr>
          </c:marker>
          <c:trendline>
            <c:trendlineType val="linear"/>
            <c:dispRSqr val="1"/>
            <c:dispEq val="1"/>
            <c:trendlineLbl>
              <c:tx>
                <c:strRef>
                  <c:f>'Teil 1 - U und Q'!$D$30</c:f>
                  <c:strCache>
                    <c:ptCount val="1"/>
                  </c:strCache>
                </c:strRef>
              </c:tx>
              <c:numFmt formatCode="General" sourceLinked="0"/>
            </c:trendlineLbl>
          </c:trendline>
          <c:xVal>
            <c:numRef>
              <c:f>'Teil 1 - U und Q'!$C$7:$C$12</c:f>
              <c:numCache>
                <c:formatCode>General</c:formatCode>
                <c:ptCount val="6"/>
              </c:numCache>
            </c:numRef>
          </c:xVal>
          <c:yVal>
            <c:numRef>
              <c:f>'Teil 1 - U und Q'!$D$7:$D$12</c:f>
              <c:numCache>
                <c:formatCode>General</c:formatCode>
                <c:ptCount val="6"/>
              </c:numCache>
            </c:numRef>
          </c:yVal>
          <c:smooth val="1"/>
          <c:extLst>
            <c:ext xmlns:c16="http://schemas.microsoft.com/office/drawing/2014/chart" uri="{C3380CC4-5D6E-409C-BE32-E72D297353CC}">
              <c16:uniqueId val="{00000001-67AD-42A7-9552-7B6F31EC19B5}"/>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a:solidFill>
                <a:srgbClr val="D9D9D9"/>
              </a:solidFill>
              <a:prstDash val="solid"/>
            </a:ln>
          </c:spPr>
        </c:majorGridlines>
        <c:title>
          <c:tx>
            <c:rich>
              <a:bodyPr/>
              <a:lstStyle/>
              <a:p>
                <a:pPr>
                  <a:defRPr/>
                </a:pPr>
                <a:r>
                  <a:rPr lang="en-US"/>
                  <a:t>Spannung U (V)</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20"/>
        <c:crosses val="autoZero"/>
        <c:crossBetween val="midCat"/>
      </c:valAx>
      <c:valAx>
        <c:axId val="20"/>
        <c:scaling>
          <c:orientation val="minMax"/>
        </c:scaling>
        <c:delete val="0"/>
        <c:axPos val="l"/>
        <c:majorGridlines>
          <c:spPr>
            <a:ln>
              <a:solidFill>
                <a:srgbClr val="D9D9D9"/>
              </a:solidFill>
              <a:prstDash val="solid"/>
            </a:ln>
          </c:spPr>
        </c:majorGridlines>
        <c:title>
          <c:tx>
            <c:rich>
              <a:bodyPr/>
              <a:lstStyle/>
              <a:p>
                <a:pPr>
                  <a:defRPr/>
                </a:pPr>
                <a:r>
                  <a:rPr lang="en-US"/>
                  <a:t>Ladung Q (pC)</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10"/>
        <c:crosses val="autoZero"/>
        <c:crossBetween val="midCat"/>
      </c:valAx>
    </c:plotArea>
    <c:legend>
      <c:legendPos val="b"/>
      <c:legendEntry>
        <c:idx val="1"/>
        <c:delete val="1"/>
      </c:legendEntry>
      <c:overlay val="0"/>
      <c:txPr>
        <a:bodyPr/>
        <a:lstStyle/>
        <a:p>
          <a:pPr>
            <a:defRPr sz="900"/>
          </a:pPr>
          <a:endParaRPr lang="en-CH"/>
        </a:p>
      </c:txPr>
    </c:legend>
    <c:plotVisOnly val="1"/>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sz="1200" b="1">
                <a:solidFill>
                  <a:srgbClr val="183A6B"/>
                </a:solidFill>
              </a:defRPr>
            </a:pPr>
            <a:r>
              <a:rPr lang="en-US"/>
              <a:t>A-C-Diagramm</a:t>
            </a:r>
          </a:p>
        </c:rich>
      </c:tx>
      <c:overlay val="1"/>
    </c:title>
    <c:autoTitleDeleted val="0"/>
    <c:plotArea>
      <c:layout>
        <c:manualLayout>
          <c:layoutTarget val="inner"/>
          <c:xMode val="edge"/>
          <c:yMode val="edge"/>
          <c:x val="0.18085106382978725"/>
          <c:y val="0.13793103448275862"/>
          <c:w val="0.73404255319148937"/>
          <c:h val="0.63793103448275867"/>
        </c:manualLayout>
      </c:layout>
      <c:scatterChart>
        <c:scatterStyle val="lineMarker"/>
        <c:varyColors val="1"/>
        <c:ser>
          <c:idx val="0"/>
          <c:order val="0"/>
          <c:tx>
            <c:v>Messwerte</c:v>
          </c:tx>
          <c:spPr>
            <a:ln>
              <a:noFill/>
              <a:prstDash val="solid"/>
            </a:ln>
          </c:spPr>
          <c:marker>
            <c:symbol val="circle"/>
            <c:size val="5"/>
            <c:spPr>
              <a:ln>
                <a:prstDash val="solid"/>
              </a:ln>
            </c:spPr>
          </c:marker>
          <c:trendline>
            <c:trendlineType val="linear"/>
            <c:dispRSqr val="0"/>
            <c:dispEq val="1"/>
            <c:trendlineLbl>
              <c:tx>
                <c:strRef>
                  <c:f>'Teil 2a - A und C'!$D$30</c:f>
                  <c:strCache>
                    <c:ptCount val="1"/>
                  </c:strCache>
                </c:strRef>
              </c:tx>
              <c:numFmt formatCode="General" sourceLinked="0"/>
            </c:trendlineLbl>
          </c:trendline>
          <c:xVal>
            <c:numRef>
              <c:f>'Teil 2a - A und C'!$C$7:$C$12</c:f>
              <c:numCache>
                <c:formatCode>General</c:formatCode>
                <c:ptCount val="6"/>
              </c:numCache>
            </c:numRef>
          </c:xVal>
          <c:yVal>
            <c:numRef>
              <c:f>'Teil 2a - A und C'!$D$7:$D$12</c:f>
              <c:numCache>
                <c:formatCode>General</c:formatCode>
                <c:ptCount val="6"/>
              </c:numCache>
            </c:numRef>
          </c:yVal>
          <c:smooth val="1"/>
          <c:extLst>
            <c:ext xmlns:c16="http://schemas.microsoft.com/office/drawing/2014/chart" uri="{C3380CC4-5D6E-409C-BE32-E72D297353CC}">
              <c16:uniqueId val="{00000001-B087-4844-9DA2-1D4AA0032689}"/>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a:solidFill>
                <a:srgbClr val="D9D9D9"/>
              </a:solidFill>
              <a:prstDash val="solid"/>
            </a:ln>
          </c:spPr>
        </c:majorGridlines>
        <c:title>
          <c:tx>
            <c:rich>
              <a:bodyPr/>
              <a:lstStyle/>
              <a:p>
                <a:pPr>
                  <a:defRPr/>
                </a:pPr>
                <a:r>
                  <a:rPr lang="en-US"/>
                  <a:t>Fläche A (mm²)</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20"/>
        <c:crosses val="autoZero"/>
        <c:crossBetween val="midCat"/>
      </c:valAx>
      <c:valAx>
        <c:axId val="20"/>
        <c:scaling>
          <c:orientation val="minMax"/>
        </c:scaling>
        <c:delete val="0"/>
        <c:axPos val="l"/>
        <c:majorGridlines>
          <c:spPr>
            <a:ln>
              <a:solidFill>
                <a:srgbClr val="D9D9D9"/>
              </a:solidFill>
              <a:prstDash val="solid"/>
            </a:ln>
          </c:spPr>
        </c:majorGridlines>
        <c:title>
          <c:tx>
            <c:rich>
              <a:bodyPr/>
              <a:lstStyle/>
              <a:p>
                <a:pPr>
                  <a:defRPr/>
                </a:pPr>
                <a:r>
                  <a:rPr lang="en-US"/>
                  <a:t>Kapazität C (pF)</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10"/>
        <c:crosses val="autoZero"/>
        <c:crossBetween val="midCat"/>
      </c:valAx>
    </c:plotArea>
    <c:legend>
      <c:legendPos val="b"/>
      <c:legendEntry>
        <c:idx val="1"/>
        <c:delete val="1"/>
      </c:legendEntry>
      <c:overlay val="0"/>
      <c:txPr>
        <a:bodyPr/>
        <a:lstStyle/>
        <a:p>
          <a:pPr>
            <a:defRPr sz="900"/>
          </a:pPr>
          <a:endParaRPr lang="en-CH"/>
        </a:p>
      </c:txPr>
    </c:legend>
    <c:plotVisOnly val="1"/>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sz="1200" b="1">
                <a:solidFill>
                  <a:srgbClr val="183A6B"/>
                </a:solidFill>
              </a:defRPr>
            </a:pPr>
            <a:r>
              <a:rPr lang="en-US"/>
              <a:t>d-C-Diagramm</a:t>
            </a:r>
          </a:p>
        </c:rich>
      </c:tx>
      <c:overlay val="1"/>
    </c:title>
    <c:autoTitleDeleted val="0"/>
    <c:plotArea>
      <c:layout>
        <c:manualLayout>
          <c:layoutTarget val="inner"/>
          <c:xMode val="edge"/>
          <c:yMode val="edge"/>
          <c:x val="0.18085106382978725"/>
          <c:y val="0.13793103448275862"/>
          <c:w val="0.73404255319148937"/>
          <c:h val="0.63793103448275867"/>
        </c:manualLayout>
      </c:layout>
      <c:scatterChart>
        <c:scatterStyle val="lineMarker"/>
        <c:varyColors val="1"/>
        <c:ser>
          <c:idx val="0"/>
          <c:order val="0"/>
          <c:tx>
            <c:v>Messwerte</c:v>
          </c:tx>
          <c:spPr>
            <a:ln>
              <a:noFill/>
              <a:prstDash val="solid"/>
            </a:ln>
          </c:spPr>
          <c:marker>
            <c:symbol val="circle"/>
            <c:size val="5"/>
            <c:spPr>
              <a:ln>
                <a:prstDash val="solid"/>
              </a:ln>
            </c:spPr>
          </c:marker>
          <c:trendline>
            <c:trendlineType val="power"/>
            <c:dispRSqr val="0"/>
            <c:dispEq val="1"/>
            <c:trendlineLbl>
              <c:tx>
                <c:strRef>
                  <c:f>'Teil 2b - d und C'!$C$32</c:f>
                  <c:strCache>
                    <c:ptCount val="1"/>
                  </c:strCache>
                </c:strRef>
              </c:tx>
              <c:numFmt formatCode="General" sourceLinked="0"/>
            </c:trendlineLbl>
          </c:trendline>
          <c:xVal>
            <c:numRef>
              <c:f>'Teil 2b - d und C'!$C$7:$C$12</c:f>
              <c:numCache>
                <c:formatCode>General</c:formatCode>
                <c:ptCount val="6"/>
              </c:numCache>
            </c:numRef>
          </c:xVal>
          <c:yVal>
            <c:numRef>
              <c:f>'Teil 2b - d und C'!$D$7:$D$12</c:f>
              <c:numCache>
                <c:formatCode>General</c:formatCode>
                <c:ptCount val="6"/>
              </c:numCache>
            </c:numRef>
          </c:yVal>
          <c:smooth val="1"/>
          <c:extLst>
            <c:ext xmlns:c16="http://schemas.microsoft.com/office/drawing/2014/chart" uri="{C3380CC4-5D6E-409C-BE32-E72D297353CC}">
              <c16:uniqueId val="{00000001-5A06-49CE-8BCF-1851165348B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a:solidFill>
                <a:srgbClr val="D9D9D9"/>
              </a:solidFill>
              <a:prstDash val="solid"/>
            </a:ln>
          </c:spPr>
        </c:majorGridlines>
        <c:title>
          <c:tx>
            <c:rich>
              <a:bodyPr/>
              <a:lstStyle/>
              <a:p>
                <a:pPr>
                  <a:defRPr/>
                </a:pPr>
                <a:r>
                  <a:rPr lang="en-US"/>
                  <a:t>Abstand d (mm)</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20"/>
        <c:crosses val="autoZero"/>
        <c:crossBetween val="midCat"/>
      </c:valAx>
      <c:valAx>
        <c:axId val="20"/>
        <c:scaling>
          <c:orientation val="minMax"/>
        </c:scaling>
        <c:delete val="0"/>
        <c:axPos val="l"/>
        <c:majorGridlines>
          <c:spPr>
            <a:ln>
              <a:solidFill>
                <a:srgbClr val="D9D9D9"/>
              </a:solidFill>
              <a:prstDash val="solid"/>
            </a:ln>
          </c:spPr>
        </c:majorGridlines>
        <c:title>
          <c:tx>
            <c:rich>
              <a:bodyPr/>
              <a:lstStyle/>
              <a:p>
                <a:pPr>
                  <a:defRPr/>
                </a:pPr>
                <a:r>
                  <a:rPr lang="en-US"/>
                  <a:t>Kapazität C (pF)</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10"/>
        <c:crosses val="autoZero"/>
        <c:crossBetween val="midCat"/>
      </c:valAx>
    </c:plotArea>
    <c:legend>
      <c:legendPos val="b"/>
      <c:legendEntry>
        <c:idx val="1"/>
        <c:delete val="1"/>
      </c:legendEntry>
      <c:overlay val="0"/>
      <c:txPr>
        <a:bodyPr/>
        <a:lstStyle/>
        <a:p>
          <a:pPr>
            <a:defRPr sz="900"/>
          </a:pPr>
          <a:endParaRPr lang="en-CH"/>
        </a:p>
      </c:txPr>
    </c:legend>
    <c:plotVisOnly val="1"/>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4</xdr:col>
      <xdr:colOff>558800</xdr:colOff>
      <xdr:row>4</xdr:row>
      <xdr:rowOff>74612</xdr:rowOff>
    </xdr:from>
    <xdr:ext cx="5969000" cy="3683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4</xdr:col>
      <xdr:colOff>558800</xdr:colOff>
      <xdr:row>4</xdr:row>
      <xdr:rowOff>74612</xdr:rowOff>
    </xdr:from>
    <xdr:ext cx="5969000" cy="3683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4</xdr:col>
      <xdr:colOff>558800</xdr:colOff>
      <xdr:row>4</xdr:row>
      <xdr:rowOff>74612</xdr:rowOff>
    </xdr:from>
    <xdr:ext cx="5969000" cy="3683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AF52924-8A81-436C-B427-E574B28EECB6}">
  <we:reference id="WA200009404" version="1.0.0.8" store="Omex" storeType="OMEX"/>
  <we:alternateReferences>
    <we:reference id="WA200009404" version="1.0.0.8" store="WA200009404" storeType="OMEX"/>
  </we:alternateReferences>
  <we:properties>
    <we:property name="claude.fileId" value="&quot;93c65f1d-d03d-44c7-b328-68ac42bf65b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showGridLines="0" workbookViewId="0"/>
  </sheetViews>
  <sheetFormatPr defaultRowHeight="14.25" x14ac:dyDescent="0.45"/>
  <cols>
    <col min="1" max="1" width="135.1328125" customWidth="1"/>
  </cols>
  <sheetData>
    <row r="1" spans="1:1" ht="21" x14ac:dyDescent="0.45">
      <c r="A1" s="6" t="s">
        <v>0</v>
      </c>
    </row>
    <row r="2" spans="1:1" ht="10.050000000000001" customHeight="1" x14ac:dyDescent="0.45">
      <c r="A2" s="1"/>
    </row>
    <row r="3" spans="1:1" x14ac:dyDescent="0.45">
      <c r="A3" s="1" t="s">
        <v>1</v>
      </c>
    </row>
    <row r="4" spans="1:1" ht="10.050000000000001" customHeight="1" x14ac:dyDescent="0.45">
      <c r="A4" s="1"/>
    </row>
    <row r="5" spans="1:1" ht="42.75" x14ac:dyDescent="0.45">
      <c r="A5" s="1" t="s">
        <v>11</v>
      </c>
    </row>
    <row r="6" spans="1:1" ht="10.050000000000001" customHeight="1" x14ac:dyDescent="0.45">
      <c r="A6" s="1"/>
    </row>
    <row r="7" spans="1:1" ht="42.75" x14ac:dyDescent="0.45">
      <c r="A7" s="1" t="s">
        <v>19</v>
      </c>
    </row>
    <row r="8" spans="1:1" ht="10.050000000000001" customHeight="1" x14ac:dyDescent="0.45">
      <c r="A8" s="1"/>
    </row>
    <row r="9" spans="1:1" ht="28.5" x14ac:dyDescent="0.45">
      <c r="A9" s="1" t="s">
        <v>20</v>
      </c>
    </row>
    <row r="10" spans="1:1" ht="10.050000000000001" customHeight="1" x14ac:dyDescent="0.45">
      <c r="A10" s="1"/>
    </row>
    <row r="11" spans="1:1" x14ac:dyDescent="0.45">
      <c r="A11" s="1" t="s">
        <v>2</v>
      </c>
    </row>
    <row r="12" spans="1:1" x14ac:dyDescent="0.45">
      <c r="A1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30"/>
  <sheetViews>
    <sheetView showGridLines="0" workbookViewId="0">
      <selection activeCell="C7" sqref="C7:D12"/>
    </sheetView>
  </sheetViews>
  <sheetFormatPr defaultRowHeight="14.25" x14ac:dyDescent="0.45"/>
  <cols>
    <col min="1" max="1" width="3.53125" customWidth="1"/>
    <col min="2" max="2" width="11" customWidth="1"/>
    <col min="3" max="4" width="19.9296875" customWidth="1"/>
  </cols>
  <sheetData>
    <row r="2" spans="2:4" ht="28.05" customHeight="1" x14ac:dyDescent="0.45">
      <c r="B2" s="15" t="s">
        <v>12</v>
      </c>
      <c r="C2" s="15"/>
      <c r="D2" s="15"/>
    </row>
    <row r="3" spans="2:4" ht="8" customHeight="1" x14ac:dyDescent="0.45"/>
    <row r="4" spans="2:4" x14ac:dyDescent="0.45">
      <c r="B4" s="13" t="s">
        <v>3</v>
      </c>
      <c r="C4" s="14"/>
      <c r="D4" s="2" t="s">
        <v>4</v>
      </c>
    </row>
    <row r="5" spans="2:4" ht="10.050000000000001" customHeight="1" x14ac:dyDescent="0.45"/>
    <row r="6" spans="2:4" ht="30" customHeight="1" x14ac:dyDescent="0.45">
      <c r="B6" s="3" t="s">
        <v>5</v>
      </c>
      <c r="C6" s="3" t="s">
        <v>6</v>
      </c>
      <c r="D6" s="3" t="s">
        <v>7</v>
      </c>
    </row>
    <row r="7" spans="2:4" ht="20" customHeight="1" x14ac:dyDescent="0.45">
      <c r="B7" s="5">
        <v>1</v>
      </c>
      <c r="C7" s="5"/>
      <c r="D7" s="5"/>
    </row>
    <row r="8" spans="2:4" ht="20" customHeight="1" x14ac:dyDescent="0.45">
      <c r="B8" s="5">
        <v>2</v>
      </c>
      <c r="C8" s="5"/>
      <c r="D8" s="5"/>
    </row>
    <row r="9" spans="2:4" ht="20" customHeight="1" x14ac:dyDescent="0.45">
      <c r="B9" s="5">
        <v>3</v>
      </c>
      <c r="C9" s="5"/>
      <c r="D9" s="5"/>
    </row>
    <row r="10" spans="2:4" ht="20" customHeight="1" x14ac:dyDescent="0.45">
      <c r="B10" s="5">
        <v>4</v>
      </c>
      <c r="C10" s="5"/>
      <c r="D10" s="5"/>
    </row>
    <row r="11" spans="2:4" ht="20" customHeight="1" x14ac:dyDescent="0.45">
      <c r="B11" s="5">
        <v>5</v>
      </c>
      <c r="C11" s="5"/>
      <c r="D11" s="5"/>
    </row>
    <row r="12" spans="2:4" ht="20" customHeight="1" x14ac:dyDescent="0.45">
      <c r="B12" s="5">
        <v>6</v>
      </c>
      <c r="C12" s="5"/>
      <c r="D12" s="5"/>
    </row>
    <row r="30" spans="3:4" x14ac:dyDescent="0.45">
      <c r="C30" t="str">
        <f>IF(COUNT(C7:C12)&lt;2,"",SLOPE(D7:D12,C7:C12))</f>
        <v/>
      </c>
      <c r="D30" t="str">
        <f>IF(C30="","","Q = "&amp;TEXT(C30,"0.000")&amp;" pC/V · U")</f>
        <v/>
      </c>
    </row>
  </sheetData>
  <mergeCells count="2">
    <mergeCell ref="B4:C4"/>
    <mergeCell ref="B2:D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30"/>
  <sheetViews>
    <sheetView showGridLines="0" workbookViewId="0">
      <selection activeCell="D4" sqref="D4"/>
    </sheetView>
  </sheetViews>
  <sheetFormatPr defaultRowHeight="14.25" x14ac:dyDescent="0.45"/>
  <cols>
    <col min="1" max="1" width="3.53125" customWidth="1"/>
    <col min="2" max="2" width="11" customWidth="1"/>
    <col min="3" max="4" width="19.9296875" customWidth="1"/>
    <col min="6" max="6" width="23.1328125" customWidth="1"/>
  </cols>
  <sheetData>
    <row r="2" spans="2:6" ht="28.05" customHeight="1" x14ac:dyDescent="0.45">
      <c r="B2" s="15" t="s">
        <v>13</v>
      </c>
      <c r="C2" s="15"/>
      <c r="D2" s="15"/>
    </row>
    <row r="3" spans="2:6" ht="8" customHeight="1" x14ac:dyDescent="0.45"/>
    <row r="4" spans="2:6" x14ac:dyDescent="0.45">
      <c r="B4" s="13" t="s">
        <v>4</v>
      </c>
      <c r="C4" s="14"/>
      <c r="D4" s="9"/>
      <c r="E4" t="s">
        <v>17</v>
      </c>
    </row>
    <row r="5" spans="2:6" ht="10.050000000000001" customHeight="1" x14ac:dyDescent="0.45"/>
    <row r="6" spans="2:6" ht="30" customHeight="1" x14ac:dyDescent="0.45">
      <c r="B6" s="4" t="s">
        <v>5</v>
      </c>
      <c r="C6" s="4" t="s">
        <v>8</v>
      </c>
      <c r="D6" s="4" t="s">
        <v>9</v>
      </c>
      <c r="F6" s="10" t="s">
        <v>22</v>
      </c>
    </row>
    <row r="7" spans="2:6" ht="20" customHeight="1" x14ac:dyDescent="0.45">
      <c r="B7" s="5">
        <v>1</v>
      </c>
      <c r="C7" s="5"/>
      <c r="D7" s="5"/>
      <c r="F7" s="11" t="str">
        <f>IF(OR($D$4="",C7="",D7=""),"",D7*$D$4/C7*0.000000001)</f>
        <v/>
      </c>
    </row>
    <row r="8" spans="2:6" ht="20" customHeight="1" x14ac:dyDescent="0.45">
      <c r="B8" s="5">
        <v>2</v>
      </c>
      <c r="C8" s="5"/>
      <c r="D8" s="5"/>
      <c r="F8" s="11" t="str">
        <f t="shared" ref="F8:F12" si="0">IF(OR($D$4="",C8="",D8=""),"",D8*$D$4/C8*0.000000001)</f>
        <v/>
      </c>
    </row>
    <row r="9" spans="2:6" ht="20" customHeight="1" x14ac:dyDescent="0.45">
      <c r="B9" s="5">
        <v>3</v>
      </c>
      <c r="C9" s="5"/>
      <c r="D9" s="5"/>
      <c r="F9" s="11" t="str">
        <f t="shared" si="0"/>
        <v/>
      </c>
    </row>
    <row r="10" spans="2:6" ht="20" customHeight="1" x14ac:dyDescent="0.45">
      <c r="B10" s="5">
        <v>4</v>
      </c>
      <c r="C10" s="5"/>
      <c r="D10" s="5"/>
      <c r="F10" s="11" t="str">
        <f t="shared" si="0"/>
        <v/>
      </c>
    </row>
    <row r="11" spans="2:6" ht="20" customHeight="1" x14ac:dyDescent="0.45">
      <c r="B11" s="5">
        <v>5</v>
      </c>
      <c r="C11" s="5"/>
      <c r="D11" s="5"/>
      <c r="F11" s="11" t="str">
        <f t="shared" si="0"/>
        <v/>
      </c>
    </row>
    <row r="12" spans="2:6" ht="20" customHeight="1" x14ac:dyDescent="0.45">
      <c r="B12" s="5">
        <v>6</v>
      </c>
      <c r="C12" s="5"/>
      <c r="D12" s="5"/>
      <c r="F12" s="11" t="str">
        <f t="shared" si="0"/>
        <v/>
      </c>
    </row>
    <row r="14" spans="2:6" x14ac:dyDescent="0.45">
      <c r="B14" s="7" t="s">
        <v>15</v>
      </c>
      <c r="C14" s="8" t="str">
        <f>IF(COUNT(F7:F12)=0,"",AVERAGE(F7:F12))</f>
        <v/>
      </c>
      <c r="D14" t="s">
        <v>16</v>
      </c>
    </row>
    <row r="30" spans="3:4" x14ac:dyDescent="0.45">
      <c r="C30" t="str">
        <f>IF(COUNT(C7:C12)&lt;2,"",SLOPE(D7:D12,C7:C12))</f>
        <v/>
      </c>
      <c r="D30" t="str">
        <f>IF(C30="","","C = "&amp;TEXT(C30,"0.0000")&amp;" pF/mm² · A")</f>
        <v/>
      </c>
    </row>
  </sheetData>
  <mergeCells count="2">
    <mergeCell ref="B4:C4"/>
    <mergeCell ref="B2:D2"/>
  </mergeCells>
  <pageMargins left="0.75" right="0.75" top="1" bottom="1" header="0.5" footer="0.5"/>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32"/>
  <sheetViews>
    <sheetView showGridLines="0" tabSelected="1" workbookViewId="0">
      <selection activeCell="D4" sqref="D4"/>
    </sheetView>
  </sheetViews>
  <sheetFormatPr defaultRowHeight="14.25" x14ac:dyDescent="0.45"/>
  <cols>
    <col min="1" max="1" width="3.53125" customWidth="1"/>
    <col min="2" max="2" width="11" customWidth="1"/>
    <col min="3" max="4" width="19.9296875" customWidth="1"/>
    <col min="6" max="6" width="23.1328125" customWidth="1"/>
  </cols>
  <sheetData>
    <row r="2" spans="2:6" ht="28.05" customHeight="1" x14ac:dyDescent="0.45">
      <c r="B2" s="15" t="s">
        <v>14</v>
      </c>
      <c r="C2" s="15"/>
      <c r="D2" s="15"/>
    </row>
    <row r="3" spans="2:6" ht="8" customHeight="1" x14ac:dyDescent="0.45"/>
    <row r="4" spans="2:6" x14ac:dyDescent="0.45">
      <c r="B4" s="13" t="s">
        <v>3</v>
      </c>
      <c r="C4" s="14"/>
      <c r="D4" s="12"/>
      <c r="E4" t="s">
        <v>18</v>
      </c>
    </row>
    <row r="5" spans="2:6" ht="10.050000000000001" customHeight="1" x14ac:dyDescent="0.45"/>
    <row r="6" spans="2:6" ht="30" customHeight="1" x14ac:dyDescent="0.45">
      <c r="B6" s="4" t="s">
        <v>5</v>
      </c>
      <c r="C6" s="4" t="s">
        <v>10</v>
      </c>
      <c r="D6" s="4" t="s">
        <v>9</v>
      </c>
      <c r="F6" s="10" t="s">
        <v>22</v>
      </c>
    </row>
    <row r="7" spans="2:6" ht="20" customHeight="1" x14ac:dyDescent="0.45">
      <c r="B7" s="5">
        <v>1</v>
      </c>
      <c r="C7" s="5"/>
      <c r="D7" s="5"/>
      <c r="F7" s="11" t="str">
        <f>IF(OR($D$4="",C7="",D7=""),"",D7*C7/$D$4*0.000000001)</f>
        <v/>
      </c>
    </row>
    <row r="8" spans="2:6" ht="20" customHeight="1" x14ac:dyDescent="0.45">
      <c r="B8" s="5">
        <v>2</v>
      </c>
      <c r="C8" s="5"/>
      <c r="D8" s="5"/>
      <c r="F8" s="11" t="str">
        <f t="shared" ref="F8:F12" si="0">IF(OR($D$4="",C8="",D8=""),"",D8*C8/$D$4*0.000000001)</f>
        <v/>
      </c>
    </row>
    <row r="9" spans="2:6" ht="20" customHeight="1" x14ac:dyDescent="0.45">
      <c r="B9" s="5">
        <v>3</v>
      </c>
      <c r="C9" s="5"/>
      <c r="D9" s="5"/>
      <c r="F9" s="11" t="str">
        <f t="shared" si="0"/>
        <v/>
      </c>
    </row>
    <row r="10" spans="2:6" ht="20" customHeight="1" x14ac:dyDescent="0.45">
      <c r="B10" s="5">
        <v>4</v>
      </c>
      <c r="C10" s="5"/>
      <c r="D10" s="5"/>
      <c r="F10" s="11" t="str">
        <f t="shared" si="0"/>
        <v/>
      </c>
    </row>
    <row r="11" spans="2:6" ht="20" customHeight="1" x14ac:dyDescent="0.45">
      <c r="B11" s="5">
        <v>5</v>
      </c>
      <c r="C11" s="5"/>
      <c r="D11" s="5"/>
      <c r="F11" s="11" t="str">
        <f t="shared" si="0"/>
        <v/>
      </c>
    </row>
    <row r="12" spans="2:6" ht="20" customHeight="1" x14ac:dyDescent="0.45">
      <c r="B12" s="5">
        <v>6</v>
      </c>
      <c r="C12" s="5"/>
      <c r="D12" s="5"/>
      <c r="F12" s="11" t="str">
        <f t="shared" si="0"/>
        <v/>
      </c>
    </row>
    <row r="14" spans="2:6" ht="45" customHeight="1" x14ac:dyDescent="0.45">
      <c r="B14" s="7" t="s">
        <v>15</v>
      </c>
      <c r="C14" s="8" t="str">
        <f>IF(COUNT(F7:F12)=0,"",AVERAGE(F7:F12))</f>
        <v/>
      </c>
      <c r="D14" t="s">
        <v>16</v>
      </c>
    </row>
    <row r="30" spans="3:3" x14ac:dyDescent="0.45">
      <c r="C30" t="str" cm="1">
        <f t="array" ref="C30">IF(COUNT(C7:C12)&lt;2,"",SLOPE(LN(_xlfn._xlws.FILTER(D7:D12,(C7:C12&lt;&gt;"")*(D7:D12&lt;&gt;""))),LN(_xlfn._xlws.FILTER(C7:C12,(C7:C12&lt;&gt;"")*(D7:D12&lt;&gt;"")))))</f>
        <v/>
      </c>
    </row>
    <row r="31" spans="3:3" x14ac:dyDescent="0.45">
      <c r="C31" t="str" cm="1">
        <f t="array" ref="C31">IF(C30="","",EXP(INTERCEPT(LN(_xlfn._xlws.FILTER(D7:D12,(C7:C12&lt;&gt;"")*(D7:D12&lt;&gt;""))),LN(_xlfn._xlws.FILTER(C7:C12,(C7:C12&lt;&gt;"")*(D7:D12&lt;&gt;""))))))</f>
        <v/>
      </c>
    </row>
    <row r="32" spans="3:3" x14ac:dyDescent="0.45">
      <c r="C32" t="str">
        <f>IF(C30="","","C = "&amp;TEXT(C31,"0.000")&amp;" · d^"&amp;TEXT(C30,"0.00")&amp;"   (C in pF, d in mm)")</f>
        <v/>
      </c>
    </row>
  </sheetData>
  <mergeCells count="2">
    <mergeCell ref="B4:C4"/>
    <mergeCell ref="B2:D2"/>
  </mergeCells>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Anleitung</vt:lpstr>
      <vt:lpstr>Teil 1 - U und Q</vt:lpstr>
      <vt:lpstr>Teil 2a - A und C</vt:lpstr>
      <vt:lpstr>Teil 2b - d und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Loris Keller (KLW)</cp:lastModifiedBy>
  <dcterms:created xsi:type="dcterms:W3CDTF">2026-08-22T16:12:57Z</dcterms:created>
  <dcterms:modified xsi:type="dcterms:W3CDTF">2026-08-27T14:10:35Z</dcterms:modified>
</cp:coreProperties>
</file>