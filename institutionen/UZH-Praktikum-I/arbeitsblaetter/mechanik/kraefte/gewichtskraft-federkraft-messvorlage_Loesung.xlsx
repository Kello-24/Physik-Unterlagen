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ris Keller KFR\Repos\Physik-Unterlagen\institutionen\UZH-Praktikum-I\arbeitsblaetter\mechanik\kraefte\gewichtskraft-federkraft\"/>
    </mc:Choice>
  </mc:AlternateContent>
  <xr:revisionPtr revIDLastSave="0" documentId="13_ncr:1_{C74A1491-08BE-4166-9D9D-E4B548DCF31B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nleitung" sheetId="1" r:id="rId1"/>
    <sheet name="Messu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2" l="1"/>
  <c r="D15" i="2"/>
  <c r="I14" i="2"/>
  <c r="J14" i="2" s="1"/>
  <c r="D14" i="2"/>
  <c r="E14" i="2" s="1"/>
  <c r="J15" i="2" l="1"/>
  <c r="E15" i="2"/>
</calcChain>
</file>

<file path=xl/sharedStrings.xml><?xml version="1.0" encoding="utf-8"?>
<sst xmlns="http://schemas.openxmlformats.org/spreadsheetml/2006/main" count="26" uniqueCount="21">
  <si>
    <t>Federkonstante bestimmen — Messvorlage</t>
  </si>
  <si>
    <t>Stationsaufbau: Massstab mit zwei verschiebbaren Köpfen auf dem Tisch. Oberer Kopf beim Nullpunkt der ungespannten Feder setzen (Feder ohne angehängte Masse). Metallfuss zum Aufhängen der Feder, mehrere Massen zum Anhängen.</t>
  </si>
  <si>
    <t>Wir vergleichen zwei Federn: eine stärkere Feder und eine Federwaage.</t>
  </si>
  <si>
    <t>Für jede Masse: Masse m (in g) eintragen, daraus von Hand die Gewichtskraft F_G = m·g berechnen (g = 9.81 N/kg) und eintragen, und die gemessene Längenänderung Δx der Feder (Auslenkung gegenüber der ungespannten Länge, in cm) eintragen.</t>
  </si>
  <si>
    <t>Nur die weissen Zellen auf dem Blatt „Messung“ ausfüllen — Diagramm und Trendlinien aktualisieren sich automatisch.</t>
  </si>
  <si>
    <t>Die Steigung jeder Trendlinie im Diagramm entspricht der Federkonstante D (in N/cm) der jeweiligen Feder — direkt im Diagramm ablesbar (Trendlinien-Gleichung) sowie zusätzlich als Text unterhalb jeder Messtabelle.</t>
  </si>
  <si>
    <t>Wichtig: Die Umrechnung von N/cm in die SI-Einheit N/m wird hier bewusst NICHT automatisch berechnet — diesen Schritt führt ihr von Hand aus und tragt das Ergebnis in die dafür vorgesehenen Zellen ein.</t>
  </si>
  <si>
    <t>Messung: Gewichtskraft F in Abhängigkeit von der Längenänderung Δx</t>
  </si>
  <si>
    <t>Messung Nr.</t>
  </si>
  <si>
    <t>Masse m (g)</t>
  </si>
  <si>
    <t>Gewichtskraft F (N)</t>
  </si>
  <si>
    <t>Δx (cm)</t>
  </si>
  <si>
    <t>Federkonstante D (Feder 1):</t>
  </si>
  <si>
    <t>Federkonstante D (Feder 2):</t>
  </si>
  <si>
    <t>Umrechnung von Hand — Federkonstante in SI-Einheit N/m:</t>
  </si>
  <si>
    <t>D₁ =</t>
  </si>
  <si>
    <t>N/m</t>
  </si>
  <si>
    <t>D₂ =</t>
  </si>
  <si>
    <t xml:space="preserve">Feder 1 </t>
  </si>
  <si>
    <t>Feder 2</t>
  </si>
  <si>
    <t>Trendlinien-Gleichung: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</si>
</sst>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183A6B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C0392B"/>
      <name val="Calibri"/>
    </font>
    <font>
      <b/>
      <sz val="13"/>
      <color rgb="FF183A6B"/>
      <name val="Calibri"/>
    </font>
    <font>
      <b/>
      <sz val="11"/>
      <color rgb="FF2E6F9E"/>
      <name val="Calibri"/>
    </font>
    <font>
      <b/>
      <sz val="10"/>
      <color rgb="FFFFFFFF"/>
      <name val="Calibri"/>
    </font>
    <font>
      <sz val="10"/>
      <color rgb="FF808080"/>
      <name val="Calibri"/>
    </font>
    <font>
      <b/>
      <sz val="10"/>
      <name val="Calibri"/>
    </font>
    <font>
      <b/>
      <sz val="10"/>
      <color rgb="FF2E6F9E"/>
      <name val="Calibri"/>
    </font>
    <font>
      <i/>
      <sz val="10"/>
      <name val="Calibri"/>
    </font>
    <font>
      <b/>
      <sz val="10"/>
      <color rgb="FFC0392B"/>
      <name val="Calibri"/>
    </font>
    <font>
      <sz val="10"/>
      <name val="Calibri"/>
    </font>
    <font>
      <b/>
      <sz val="10"/>
      <color theme="1"/>
      <name val="Calibri"/>
      <family val="2"/>
      <scheme val="minor"/>
    </font>
    <font>
      <sz val="10"/>
      <color rgb="FF2E6F9E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C0392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A4A4A"/>
      </patternFill>
    </fill>
    <fill>
      <patternFill patternType="solid">
        <fgColor rgb="FFFFFDE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7" fillId="2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0" fillId="3" borderId="1" xfId="0" applyFill="1" applyBorder="1"/>
    <xf numFmtId="0" fontId="8" fillId="0" borderId="0" xfId="0" applyFont="1"/>
    <xf numFmtId="0" fontId="14" fillId="0" borderId="0" xfId="0" applyFont="1"/>
    <xf numFmtId="2" fontId="15" fillId="0" borderId="0" xfId="0" applyNumberFormat="1" applyFont="1"/>
    <xf numFmtId="0" fontId="16" fillId="0" borderId="0" xfId="0" applyFont="1"/>
    <xf numFmtId="2" fontId="17" fillId="0" borderId="0" xfId="0" applyNumberFormat="1" applyFont="1"/>
    <xf numFmtId="0" fontId="5" fillId="0" borderId="0" xfId="0" applyFont="1"/>
    <xf numFmtId="0" fontId="0" fillId="0" borderId="0" xfId="0"/>
    <xf numFmtId="0" fontId="6" fillId="0" borderId="0" xfId="0" applyFont="1"/>
    <xf numFmtId="0" fontId="4" fillId="0" borderId="0" xfId="0" applyFont="1"/>
    <xf numFmtId="0" fontId="12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300"/>
            </a:pPr>
            <a:r>
              <a:rPr lang="en-US"/>
              <a:t>F-</a:t>
            </a:r>
            <a:r>
              <a:rPr lang="el-GR"/>
              <a:t>Δ</a:t>
            </a:r>
            <a:r>
              <a:rPr lang="en-US"/>
              <a:t>x-Diagramm: Vergleich zweier Federn</a:t>
            </a:r>
          </a:p>
        </c:rich>
      </c:tx>
      <c:layout>
        <c:manualLayout>
          <c:xMode val="edge"/>
          <c:yMode val="edge"/>
          <c:x val="0.33014006203769986"/>
          <c:y val="5.0000000000000001E-3"/>
        </c:manualLayout>
      </c:layout>
      <c:overlay val="1"/>
    </c:title>
    <c:autoTitleDeleted val="0"/>
    <c:plotArea>
      <c:layout>
        <c:manualLayout>
          <c:xMode val="edge"/>
          <c:yMode val="edge"/>
          <c:x val="3.3333333333333333E-2"/>
          <c:y val="9.5000000000000001E-2"/>
          <c:w val="0.87121212121212122"/>
          <c:h val="0.72"/>
        </c:manualLayout>
      </c:layout>
      <c:scatterChart>
        <c:scatterStyle val="lineMarker"/>
        <c:varyColors val="1"/>
        <c:ser>
          <c:idx val="0"/>
          <c:order val="0"/>
          <c:tx>
            <c:v>Feder 1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2E6F9E"/>
              </a:solidFill>
              <a:ln>
                <a:solidFill>
                  <a:srgbClr val="2E6F9E"/>
                </a:solidFill>
                <a:prstDash val="solid"/>
              </a:ln>
            </c:spPr>
          </c:marker>
          <c:trendline>
            <c:spPr>
              <a:ln>
                <a:solidFill>
                  <a:srgbClr val="2E6F9E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-0.44171725125268435"/>
                  <c:y val="-7.2172834645669287E-2"/>
                </c:manualLayout>
              </c:layout>
              <c:tx>
                <c:strRef>
                  <c:f>Messung!$E$15</c:f>
                  <c:strCache>
                    <c:ptCount val="1"/>
                    <c:pt idx="0">
                      <c:v>F = 0.17 N/cm · Δx + 0.00 N</c:v>
                    </c:pt>
                  </c:strCache>
                </c:strRef>
              </c:tx>
              <c:numFmt formatCode="General" sourceLinked="0"/>
              <c:spPr>
                <a:solidFill>
                  <a:srgbClr val="FFFFFF"/>
                </a:solidFill>
                <a:ln>
                  <a:solidFill>
                    <a:srgbClr val="BFBFBF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1000" b="1" baseline="0">
                      <a:solidFill>
                        <a:srgbClr val="1F3864"/>
                      </a:solidFill>
                    </a:defRPr>
                  </a:pPr>
                  <a:endParaRPr lang="en-CH"/>
                </a:p>
              </c:txPr>
            </c:trendlineLbl>
          </c:trendline>
          <c:xVal>
            <c:numRef>
              <c:f>Messung!$E$7:$E$12</c:f>
              <c:numCache>
                <c:formatCode>General</c:formatCode>
                <c:ptCount val="6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</c:numCache>
            </c:numRef>
          </c:xVal>
          <c:yVal>
            <c:numRef>
              <c:f>Messung!$D$7:$D$12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3D-4C60-A112-EBAD66F9C0E2}"/>
            </c:ext>
          </c:extLst>
        </c:ser>
        <c:ser>
          <c:idx val="1"/>
          <c:order val="1"/>
          <c:tx>
            <c:v>Feder 2</c:v>
          </c:tx>
          <c:spPr>
            <a:ln>
              <a:noFill/>
              <a:prstDash val="solid"/>
            </a:ln>
          </c:spPr>
          <c:marker>
            <c:symbol val="diamond"/>
            <c:size val="6"/>
            <c:spPr>
              <a:solidFill>
                <a:srgbClr val="C0392B"/>
              </a:solidFill>
              <a:ln>
                <a:solidFill>
                  <a:srgbClr val="C0392B"/>
                </a:solidFill>
                <a:prstDash val="solid"/>
              </a:ln>
            </c:spPr>
          </c:marker>
          <c:trendline>
            <c:spPr>
              <a:ln>
                <a:solidFill>
                  <a:srgbClr val="C0392B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0"/>
                  <c:y val="0"/>
                </c:manualLayout>
              </c:layout>
              <c:tx>
                <c:strRef>
                  <c:f>Messung!$J$15</c:f>
                  <c:strCache>
                    <c:ptCount val="1"/>
                    <c:pt idx="0">
                      <c:v>F = 0.50 N/cm · Δx + 0.00 N</c:v>
                    </c:pt>
                  </c:strCache>
                </c:strRef>
              </c:tx>
              <c:numFmt formatCode="General" sourceLinked="0"/>
              <c:spPr>
                <a:solidFill>
                  <a:srgbClr val="FFFFFF"/>
                </a:solidFill>
                <a:ln>
                  <a:solidFill>
                    <a:srgbClr val="BFBFBF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1000" b="1">
                      <a:solidFill>
                        <a:srgbClr val="C0392B"/>
                      </a:solidFill>
                    </a:defRPr>
                  </a:pPr>
                  <a:endParaRPr lang="en-CH"/>
                </a:p>
              </c:txPr>
            </c:trendlineLbl>
          </c:trendline>
          <c:xVal>
            <c:numRef>
              <c:f>Messung!$J$7:$J$12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xVal>
          <c:yVal>
            <c:numRef>
              <c:f>Messung!$I$7:$I$12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3D-4C60-A112-EBAD66F9C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n-US"/>
                  <a:t>Längenänderung </a:t>
                </a:r>
                <a:r>
                  <a:rPr lang="el-GR"/>
                  <a:t>Δ</a:t>
                </a:r>
                <a:r>
                  <a:rPr lang="en-US"/>
                  <a:t>x (cm)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000"/>
            </a:pPr>
            <a:endParaRPr lang="en-CH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n-US"/>
                  <a:t>Gewichtskraft F (N)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000"/>
            </a:pPr>
            <a:endParaRPr lang="en-CH"/>
          </a:p>
        </c:txPr>
        <c:crossAx val="10"/>
        <c:crosses val="autoZero"/>
        <c:crossBetween val="midCat"/>
      </c:valAx>
    </c:plotArea>
    <c:legend>
      <c:legendPos val="b"/>
      <c:overlay val="0"/>
      <c:txPr>
        <a:bodyPr/>
        <a:lstStyle/>
        <a:p>
          <a:pPr>
            <a:defRPr sz="1000"/>
          </a:pPr>
          <a:endParaRPr lang="en-CH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21</xdr:row>
      <xdr:rowOff>0</xdr:rowOff>
    </xdr:from>
    <xdr:ext cx="8382000" cy="50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194D56-A057-4589-9502-A96CB7490D7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343371c-171b-46f5-a678-fa0d4ffc98b8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showGridLines="0" topLeftCell="A5" workbookViewId="0"/>
  </sheetViews>
  <sheetFormatPr defaultRowHeight="14.25" x14ac:dyDescent="0.45"/>
  <cols>
    <col min="1" max="1" width="110" customWidth="1"/>
  </cols>
  <sheetData>
    <row r="1" spans="1:1" ht="20" customHeight="1" x14ac:dyDescent="0.45">
      <c r="A1" s="1" t="s">
        <v>0</v>
      </c>
    </row>
    <row r="3" spans="1:1" ht="20" customHeight="1" x14ac:dyDescent="0.45">
      <c r="A3" s="2"/>
    </row>
    <row r="5" spans="1:1" ht="42" customHeight="1" x14ac:dyDescent="0.45">
      <c r="A5" s="2" t="s">
        <v>1</v>
      </c>
    </row>
    <row r="7" spans="1:1" ht="20" customHeight="1" x14ac:dyDescent="0.45">
      <c r="A7" s="3" t="s">
        <v>2</v>
      </c>
    </row>
    <row r="9" spans="1:1" ht="20" customHeight="1" x14ac:dyDescent="0.45">
      <c r="A9" s="2"/>
    </row>
    <row r="11" spans="1:1" ht="42" customHeight="1" x14ac:dyDescent="0.45">
      <c r="A11" s="2" t="s">
        <v>3</v>
      </c>
    </row>
    <row r="13" spans="1:1" ht="28.05" customHeight="1" x14ac:dyDescent="0.45">
      <c r="A13" s="2" t="s">
        <v>4</v>
      </c>
    </row>
    <row r="15" spans="1:1" ht="20" customHeight="1" x14ac:dyDescent="0.45">
      <c r="A15" s="2"/>
    </row>
    <row r="17" spans="1:1" ht="42" customHeight="1" x14ac:dyDescent="0.45">
      <c r="A17" s="2" t="s">
        <v>5</v>
      </c>
    </row>
    <row r="19" spans="1:1" ht="20" customHeight="1" x14ac:dyDescent="0.45">
      <c r="A19" s="2"/>
    </row>
    <row r="21" spans="1:1" ht="42" customHeight="1" x14ac:dyDescent="0.45">
      <c r="A21" s="4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9"/>
  <sheetViews>
    <sheetView showGridLines="0" tabSelected="1" topLeftCell="A2" zoomScale="60" workbookViewId="0">
      <selection activeCell="R28" sqref="R28"/>
    </sheetView>
  </sheetViews>
  <sheetFormatPr defaultRowHeight="14.25" x14ac:dyDescent="0.45"/>
  <cols>
    <col min="1" max="1" width="3" customWidth="1"/>
    <col min="2" max="3" width="13" customWidth="1"/>
    <col min="4" max="4" width="16" customWidth="1"/>
    <col min="5" max="5" width="13" customWidth="1"/>
    <col min="6" max="6" width="3" customWidth="1"/>
    <col min="7" max="8" width="13" customWidth="1"/>
    <col min="9" max="9" width="16" customWidth="1"/>
    <col min="10" max="10" width="13" customWidth="1"/>
  </cols>
  <sheetData>
    <row r="2" spans="2:10" ht="16.899999999999999" x14ac:dyDescent="0.5">
      <c r="B2" s="18" t="s">
        <v>7</v>
      </c>
      <c r="C2" s="19"/>
      <c r="D2" s="19"/>
      <c r="E2" s="19"/>
      <c r="F2" s="19"/>
      <c r="G2" s="19"/>
      <c r="H2" s="19"/>
      <c r="I2" s="19"/>
      <c r="J2" s="19"/>
    </row>
    <row r="4" spans="2:10" x14ac:dyDescent="0.45">
      <c r="B4" s="20" t="s">
        <v>18</v>
      </c>
      <c r="C4" s="19"/>
      <c r="D4" s="19"/>
      <c r="E4" s="19"/>
      <c r="G4" s="21" t="s">
        <v>19</v>
      </c>
      <c r="H4" s="19"/>
      <c r="I4" s="19"/>
      <c r="J4" s="19"/>
    </row>
    <row r="6" spans="2:10" x14ac:dyDescent="0.45">
      <c r="B6" s="5" t="s">
        <v>8</v>
      </c>
      <c r="C6" s="5" t="s">
        <v>9</v>
      </c>
      <c r="D6" s="5" t="s">
        <v>10</v>
      </c>
      <c r="E6" s="5" t="s">
        <v>11</v>
      </c>
      <c r="G6" s="5" t="s">
        <v>8</v>
      </c>
      <c r="H6" s="5" t="s">
        <v>9</v>
      </c>
      <c r="I6" s="5" t="s">
        <v>10</v>
      </c>
      <c r="J6" s="5" t="s">
        <v>11</v>
      </c>
    </row>
    <row r="7" spans="2:10" x14ac:dyDescent="0.45">
      <c r="B7" s="6">
        <v>1</v>
      </c>
      <c r="C7" s="7">
        <v>0</v>
      </c>
      <c r="D7" s="7">
        <v>0</v>
      </c>
      <c r="E7" s="7">
        <v>0</v>
      </c>
      <c r="G7" s="6">
        <v>1</v>
      </c>
      <c r="H7" s="7">
        <v>0</v>
      </c>
      <c r="I7" s="7">
        <v>0</v>
      </c>
      <c r="J7" s="7">
        <v>0</v>
      </c>
    </row>
    <row r="8" spans="2:10" x14ac:dyDescent="0.45">
      <c r="B8" s="6">
        <v>2</v>
      </c>
      <c r="C8" s="7">
        <v>100</v>
      </c>
      <c r="D8" s="7">
        <v>1</v>
      </c>
      <c r="E8" s="7">
        <v>6</v>
      </c>
      <c r="G8" s="6">
        <v>2</v>
      </c>
      <c r="H8" s="7">
        <v>100</v>
      </c>
      <c r="I8" s="7">
        <v>1</v>
      </c>
      <c r="J8" s="7">
        <v>2</v>
      </c>
    </row>
    <row r="9" spans="2:10" x14ac:dyDescent="0.45">
      <c r="B9" s="6">
        <v>3</v>
      </c>
      <c r="C9" s="7">
        <v>200</v>
      </c>
      <c r="D9" s="7">
        <v>2</v>
      </c>
      <c r="E9" s="7">
        <v>12</v>
      </c>
      <c r="G9" s="6">
        <v>3</v>
      </c>
      <c r="H9" s="7">
        <v>200</v>
      </c>
      <c r="I9" s="7">
        <v>2</v>
      </c>
      <c r="J9" s="7">
        <v>4</v>
      </c>
    </row>
    <row r="10" spans="2:10" x14ac:dyDescent="0.45">
      <c r="B10" s="6">
        <v>4</v>
      </c>
      <c r="C10" s="7">
        <v>300</v>
      </c>
      <c r="D10" s="7">
        <v>3</v>
      </c>
      <c r="E10" s="7">
        <v>18</v>
      </c>
      <c r="G10" s="6">
        <v>4</v>
      </c>
      <c r="H10" s="7">
        <v>300</v>
      </c>
      <c r="I10" s="7">
        <v>3</v>
      </c>
      <c r="J10" s="7">
        <v>6</v>
      </c>
    </row>
    <row r="11" spans="2:10" x14ac:dyDescent="0.45">
      <c r="B11" s="6">
        <v>5</v>
      </c>
      <c r="C11" s="7">
        <v>400</v>
      </c>
      <c r="D11" s="7">
        <v>4</v>
      </c>
      <c r="E11" s="7">
        <v>24</v>
      </c>
      <c r="G11" s="6">
        <v>5</v>
      </c>
      <c r="H11" s="7">
        <v>400</v>
      </c>
      <c r="I11" s="7">
        <v>4</v>
      </c>
      <c r="J11" s="7">
        <v>8</v>
      </c>
    </row>
    <row r="12" spans="2:10" x14ac:dyDescent="0.45">
      <c r="B12" s="6">
        <v>6</v>
      </c>
      <c r="C12" s="7">
        <v>500</v>
      </c>
      <c r="D12" s="7">
        <v>5</v>
      </c>
      <c r="E12" s="7">
        <v>30</v>
      </c>
      <c r="G12" s="6">
        <v>6</v>
      </c>
      <c r="H12" s="7">
        <v>500</v>
      </c>
      <c r="I12" s="7">
        <v>5</v>
      </c>
      <c r="J12" s="7">
        <v>10</v>
      </c>
    </row>
    <row r="14" spans="2:10" x14ac:dyDescent="0.45">
      <c r="B14" s="23" t="s">
        <v>12</v>
      </c>
      <c r="C14" s="19"/>
      <c r="D14" s="8">
        <f>IF(COUNT(E7:E12)&lt;2,"",SLOPE(D7:D12,E7:E12))</f>
        <v>0.16666666666666666</v>
      </c>
      <c r="E14" s="9" t="str">
        <f>IF(D14="","","D₁ = "&amp;TEXT(D14,"0.00")&amp;" N/cm")</f>
        <v>D₁ = 0.17 N/cm</v>
      </c>
      <c r="G14" s="23" t="s">
        <v>13</v>
      </c>
      <c r="H14" s="19"/>
      <c r="I14" s="10">
        <f>IF(COUNT(J7:J12)&lt;2,"",SLOPE(I7:I12,J7:J12))</f>
        <v>0.5</v>
      </c>
      <c r="J14" s="9" t="str">
        <f>IF(I14="","","D₂ = "&amp;TEXT(I14,"0.00")&amp;" N/cm")</f>
        <v>D₂ = 0.50 N/cm</v>
      </c>
    </row>
    <row r="15" spans="2:10" x14ac:dyDescent="0.45">
      <c r="B15" s="14" t="s">
        <v>20</v>
      </c>
      <c r="D15" s="15">
        <f>IF(COUNT(E7:E12)&lt;2,"",INTERCEPT(D7:D12,E7:E12))</f>
        <v>0</v>
      </c>
      <c r="E15" s="16" t="str">
        <f>IF(D14="","","F = "&amp;TEXT(D14,"0.00")&amp;" N/cm · Δx "&amp;IF(D15&gt;=0,"+ ","− ")&amp;TEXT(ABS(D15),"0.00")&amp;" N")</f>
        <v>F = 0.17 N/cm · Δx + 0.00 N</v>
      </c>
      <c r="I15" s="17">
        <f>IF(COUNT(J7:J12)&lt;2,"",INTERCEPT(I7:I12,J7:J12))</f>
        <v>0</v>
      </c>
      <c r="J15" s="16" t="str">
        <f>IF(I14="","","F = "&amp;TEXT(I14,"0.00")&amp;" N/cm · Δx "&amp;IF(I15&gt;=0,"+ ","− ")&amp;TEXT(ABS(I15),"0.00")&amp;" N")</f>
        <v>F = 0.50 N/cm · Δx + 0.00 N</v>
      </c>
    </row>
    <row r="17" spans="2:10" x14ac:dyDescent="0.45">
      <c r="B17" s="22" t="s">
        <v>14</v>
      </c>
      <c r="C17" s="19"/>
      <c r="D17" s="19"/>
      <c r="E17" s="19"/>
      <c r="F17" s="19"/>
      <c r="G17" s="19"/>
      <c r="H17" s="19"/>
      <c r="I17" s="19"/>
      <c r="J17" s="19"/>
    </row>
    <row r="19" spans="2:10" x14ac:dyDescent="0.45">
      <c r="B19" s="11" t="s">
        <v>15</v>
      </c>
      <c r="C19" s="12">
        <v>17</v>
      </c>
      <c r="D19" s="13" t="s">
        <v>16</v>
      </c>
      <c r="G19" s="11" t="s">
        <v>17</v>
      </c>
      <c r="H19" s="12">
        <v>50</v>
      </c>
      <c r="I19" s="13" t="s">
        <v>16</v>
      </c>
    </row>
  </sheetData>
  <mergeCells count="6">
    <mergeCell ref="B2:J2"/>
    <mergeCell ref="B4:E4"/>
    <mergeCell ref="G4:J4"/>
    <mergeCell ref="B17:J17"/>
    <mergeCell ref="B14:C14"/>
    <mergeCell ref="G14:H1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Anleitung</vt:lpstr>
      <vt:lpstr>Messung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Loris Keller (KLW)</cp:lastModifiedBy>
  <dcterms:created xsi:type="dcterms:W3CDTF">2026-08-23T14:57:02Z</dcterms:created>
  <dcterms:modified xsi:type="dcterms:W3CDTF">2026-08-26T06:19:29Z</dcterms:modified>
</cp:coreProperties>
</file>