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is Keller KFR\Repos\Physik-Unterlagen\institutionen\KFR\praktika\5. Klasse\hs\08EmmN - Linsenabbildung\"/>
    </mc:Choice>
  </mc:AlternateContent>
  <xr:revisionPtr revIDLastSave="0" documentId="13_ncr:1_{653E86A7-17CE-4F32-8CCE-12489C7672ED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Messdaten" sheetId="1" r:id="rId1"/>
    <sheet name="Auswertung" sheetId="2" r:id="rId2"/>
    <sheet name="Fehlerrechnu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3" l="1"/>
  <c r="D17" i="3"/>
  <c r="D16" i="3"/>
  <c r="D15" i="3"/>
  <c r="D14" i="3"/>
  <c r="D13" i="3"/>
  <c r="D12" i="3"/>
  <c r="D11" i="3"/>
  <c r="D10" i="3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21" i="2"/>
  <c r="B21" i="2"/>
  <c r="F21" i="2" s="1"/>
  <c r="A21" i="2"/>
  <c r="I21" i="2" s="1"/>
  <c r="C20" i="2"/>
  <c r="H20" i="2" s="1"/>
  <c r="B20" i="2"/>
  <c r="F20" i="2" s="1"/>
  <c r="A20" i="2"/>
  <c r="C19" i="2"/>
  <c r="B19" i="2"/>
  <c r="F19" i="2" s="1"/>
  <c r="A19" i="2"/>
  <c r="E19" i="2" s="1"/>
  <c r="G19" i="2" s="1"/>
  <c r="C18" i="2"/>
  <c r="B18" i="2"/>
  <c r="F18" i="2" s="1"/>
  <c r="A18" i="2"/>
  <c r="E18" i="2" s="1"/>
  <c r="C17" i="2"/>
  <c r="H17" i="2" s="1"/>
  <c r="B17" i="2"/>
  <c r="A17" i="2"/>
  <c r="E17" i="2" s="1"/>
  <c r="C16" i="2"/>
  <c r="B16" i="2"/>
  <c r="F16" i="2" s="1"/>
  <c r="A16" i="2"/>
  <c r="I16" i="2" s="1"/>
  <c r="C15" i="2"/>
  <c r="B15" i="2"/>
  <c r="F15" i="2" s="1"/>
  <c r="A15" i="2"/>
  <c r="C14" i="2"/>
  <c r="B14" i="2"/>
  <c r="F14" i="2" s="1"/>
  <c r="A14" i="2"/>
  <c r="E14" i="2" s="1"/>
  <c r="G14" i="2" s="1"/>
  <c r="C13" i="2"/>
  <c r="B13" i="2"/>
  <c r="F13" i="2" s="1"/>
  <c r="A13" i="2"/>
  <c r="C12" i="2"/>
  <c r="B12" i="2"/>
  <c r="F12" i="2" s="1"/>
  <c r="A12" i="2"/>
  <c r="E12" i="2" s="1"/>
  <c r="C11" i="2"/>
  <c r="B11" i="2"/>
  <c r="F11" i="2" s="1"/>
  <c r="A11" i="2"/>
  <c r="I11" i="2" s="1"/>
  <c r="C10" i="2"/>
  <c r="C18" i="3" s="1"/>
  <c r="B10" i="2"/>
  <c r="F10" i="2" s="1"/>
  <c r="A10" i="2"/>
  <c r="I10" i="2" s="1"/>
  <c r="C9" i="2"/>
  <c r="C17" i="3" s="1"/>
  <c r="B9" i="2"/>
  <c r="A9" i="2"/>
  <c r="C8" i="2"/>
  <c r="B8" i="2"/>
  <c r="F8" i="2" s="1"/>
  <c r="A8" i="2"/>
  <c r="C7" i="2"/>
  <c r="C15" i="3" s="1"/>
  <c r="B7" i="2"/>
  <c r="B15" i="3" s="1"/>
  <c r="F15" i="3" s="1"/>
  <c r="A7" i="2"/>
  <c r="I7" i="2" s="1"/>
  <c r="C6" i="2"/>
  <c r="C14" i="3" s="1"/>
  <c r="B6" i="2"/>
  <c r="B14" i="3" s="1"/>
  <c r="F14" i="3" s="1"/>
  <c r="A6" i="2"/>
  <c r="E6" i="2" s="1"/>
  <c r="C5" i="2"/>
  <c r="C13" i="3" s="1"/>
  <c r="B5" i="2"/>
  <c r="A5" i="2"/>
  <c r="C4" i="2"/>
  <c r="B4" i="2"/>
  <c r="F4" i="2" s="1"/>
  <c r="A4" i="2"/>
  <c r="E4" i="2" s="1"/>
  <c r="C3" i="2"/>
  <c r="C11" i="3" s="1"/>
  <c r="B3" i="2"/>
  <c r="F3" i="2" s="1"/>
  <c r="A3" i="2"/>
  <c r="I3" i="2" s="1"/>
  <c r="C2" i="2"/>
  <c r="C10" i="3" s="1"/>
  <c r="B2" i="2"/>
  <c r="F2" i="2" s="1"/>
  <c r="A2" i="2"/>
  <c r="I5" i="2" l="1"/>
  <c r="H13" i="2"/>
  <c r="I15" i="2"/>
  <c r="I2" i="2"/>
  <c r="B18" i="3"/>
  <c r="F18" i="3" s="1"/>
  <c r="I8" i="2"/>
  <c r="H15" i="2"/>
  <c r="E21" i="2"/>
  <c r="G21" i="2" s="1"/>
  <c r="A10" i="3"/>
  <c r="E10" i="3" s="1"/>
  <c r="B10" i="3"/>
  <c r="F10" i="3" s="1"/>
  <c r="A11" i="3"/>
  <c r="E11" i="3" s="1"/>
  <c r="B11" i="3"/>
  <c r="F11" i="3" s="1"/>
  <c r="H10" i="2"/>
  <c r="H18" i="3" s="1"/>
  <c r="I18" i="3" s="1"/>
  <c r="A12" i="3"/>
  <c r="E12" i="3" s="1"/>
  <c r="B12" i="3"/>
  <c r="F12" i="3" s="1"/>
  <c r="A13" i="3"/>
  <c r="E13" i="3" s="1"/>
  <c r="A16" i="3"/>
  <c r="E16" i="3" s="1"/>
  <c r="I12" i="2"/>
  <c r="B16" i="3"/>
  <c r="F16" i="3" s="1"/>
  <c r="H3" i="2"/>
  <c r="H11" i="3" s="1"/>
  <c r="I11" i="3" s="1"/>
  <c r="G18" i="2"/>
  <c r="I20" i="2"/>
  <c r="A18" i="3"/>
  <c r="E18" i="3" s="1"/>
  <c r="E13" i="2"/>
  <c r="G13" i="2" s="1"/>
  <c r="I13" i="2"/>
  <c r="H8" i="2"/>
  <c r="C16" i="3"/>
  <c r="E9" i="2"/>
  <c r="A17" i="3"/>
  <c r="E17" i="3" s="1"/>
  <c r="F9" i="2"/>
  <c r="B17" i="3"/>
  <c r="F17" i="3" s="1"/>
  <c r="H4" i="2"/>
  <c r="C12" i="3"/>
  <c r="F5" i="2"/>
  <c r="B13" i="3"/>
  <c r="F13" i="3" s="1"/>
  <c r="G12" i="2"/>
  <c r="I17" i="2"/>
  <c r="G10" i="3"/>
  <c r="H18" i="2"/>
  <c r="I18" i="2"/>
  <c r="F6" i="2"/>
  <c r="G6" i="2" s="1"/>
  <c r="H6" i="2"/>
  <c r="A14" i="3"/>
  <c r="E14" i="3" s="1"/>
  <c r="G14" i="3" s="1"/>
  <c r="I6" i="2"/>
  <c r="H11" i="2"/>
  <c r="H19" i="2"/>
  <c r="H2" i="2"/>
  <c r="E11" i="2"/>
  <c r="G11" i="2" s="1"/>
  <c r="H7" i="2"/>
  <c r="H15" i="3" s="1"/>
  <c r="E7" i="2"/>
  <c r="H16" i="2"/>
  <c r="F7" i="2"/>
  <c r="E16" i="2"/>
  <c r="G16" i="2" s="1"/>
  <c r="A15" i="3"/>
  <c r="E15" i="3" s="1"/>
  <c r="G15" i="3" s="1"/>
  <c r="H21" i="2"/>
  <c r="H5" i="2"/>
  <c r="H13" i="3" s="1"/>
  <c r="H14" i="2"/>
  <c r="H12" i="2"/>
  <c r="H9" i="2"/>
  <c r="G4" i="2"/>
  <c r="E2" i="2"/>
  <c r="I4" i="2"/>
  <c r="H12" i="3" s="1"/>
  <c r="I12" i="3" s="1"/>
  <c r="I9" i="2"/>
  <c r="H17" i="3" s="1"/>
  <c r="I17" i="3" s="1"/>
  <c r="I14" i="2"/>
  <c r="I19" i="2"/>
  <c r="F17" i="2"/>
  <c r="G17" i="2" s="1"/>
  <c r="E5" i="2"/>
  <c r="E10" i="2"/>
  <c r="G10" i="2" s="1"/>
  <c r="E15" i="2"/>
  <c r="G15" i="2" s="1"/>
  <c r="E20" i="2"/>
  <c r="G20" i="2" s="1"/>
  <c r="E3" i="2"/>
  <c r="G3" i="2" s="1"/>
  <c r="E8" i="2"/>
  <c r="G8" i="2" s="1"/>
  <c r="I13" i="3" l="1"/>
  <c r="I15" i="3"/>
  <c r="G18" i="3"/>
  <c r="H16" i="3"/>
  <c r="I16" i="3" s="1"/>
  <c r="G12" i="3"/>
  <c r="G16" i="3"/>
  <c r="G13" i="3"/>
  <c r="G11" i="3"/>
  <c r="G2" i="2"/>
  <c r="B35" i="3"/>
  <c r="B36" i="3" s="1"/>
  <c r="B34" i="3"/>
  <c r="G7" i="2"/>
  <c r="G17" i="3"/>
  <c r="B38" i="3"/>
  <c r="B37" i="3"/>
  <c r="H10" i="3"/>
  <c r="G9" i="2"/>
  <c r="G5" i="2"/>
  <c r="H14" i="3"/>
  <c r="I14" i="3" s="1"/>
  <c r="B29" i="3" l="1"/>
  <c r="B28" i="3"/>
  <c r="I10" i="3"/>
  <c r="B30" i="3" s="1"/>
  <c r="B31" i="3" s="1"/>
  <c r="B22" i="3"/>
  <c r="B24" i="3" s="1"/>
  <c r="B21" i="3"/>
  <c r="B23" i="3" s="1"/>
  <c r="B25" i="3" l="1"/>
</calcChain>
</file>

<file path=xl/sharedStrings.xml><?xml version="1.0" encoding="utf-8"?>
<sst xmlns="http://schemas.openxmlformats.org/spreadsheetml/2006/main" count="49" uniqueCount="45">
  <si>
    <t>g [mm]</t>
  </si>
  <si>
    <t>b [mm]</t>
  </si>
  <si>
    <t>B [mm]</t>
  </si>
  <si>
    <t>G [mm]</t>
  </si>
  <si>
    <t>1/g [1/mm]</t>
  </si>
  <si>
    <t>1/b [1/mm]</t>
  </si>
  <si>
    <t>1/g+1/b [1/mm]</t>
  </si>
  <si>
    <t>B/G</t>
  </si>
  <si>
    <t>b/g</t>
  </si>
  <si>
    <t>Automatisch berechnet aus "Messdaten" - nicht von Hand bearbeiten.</t>
  </si>
  <si>
    <t>Lichtquelle-Position [cm]</t>
  </si>
  <si>
    <t>Objekt-Position [cm]</t>
  </si>
  <si>
    <t>Linsen-Position [cm]</t>
  </si>
  <si>
    <t>Schirm-Position [cm]</t>
  </si>
  <si>
    <t>Bildgroesse B [cm]</t>
  </si>
  <si>
    <t>Hinweis: Alle Werte sind vom Referenzmassstab der optischen Schiene abgelesene Positionen (in cm), nicht direkte Distanzen -- ausser B (Bildgroesse, direkt gemessen). g und b werden im Blatt 'Auswertung' aus den Positionsdifferenzen berechnet. Objekt-Position (B2) ist der Referenzpunkt fuer g.</t>
  </si>
  <si>
    <t>Fehlerfortpflanzung -- Aussage 1 (Abbildungsmassstab) und Aussage 2 (Linsengleichung)</t>
  </si>
  <si>
    <t>Konstante Eingaben (einmalig geschaetzt):</t>
  </si>
  <si>
    <t>Gegenstandsgroesse G [mm]</t>
  </si>
  <si>
    <t>Fehler Delta-G [mm]</t>
  </si>
  <si>
    <t>Fehler Delta-g [mm]</t>
  </si>
  <si>
    <t>Fehler Delta-B [mm]</t>
  </si>
  <si>
    <t>Delta(1/g)</t>
  </si>
  <si>
    <t>Delta(1/b)</t>
  </si>
  <si>
    <t>Delta(1/g+1/b)</t>
  </si>
  <si>
    <t>d = b/g - B/G</t>
  </si>
  <si>
    <t>Delta-d</t>
  </si>
  <si>
    <t>Aussage 2 (Linsengleichung) -- numerische Fehlerfortpflanzung:</t>
  </si>
  <si>
    <t>Mittelwert 1/g+1/b [1/mm]</t>
  </si>
  <si>
    <t>N (Anzahl Zeilen)</t>
  </si>
  <si>
    <t>f_exp [mm]</t>
  </si>
  <si>
    <t>Delta(Mittelwert 1/g+1/b)</t>
  </si>
  <si>
    <t>Delta f_exp [mm]</t>
  </si>
  <si>
    <t>Aussage 1 (Abbildungsmassstab) -- numerische Fehlerfortpflanzung:</t>
  </si>
  <si>
    <t>Mittelwert d (= b/g - B/G)</t>
  </si>
  <si>
    <t>Delta d-quer (Fehler des Mittelwerts)</t>
  </si>
  <si>
    <t>0 innerhalb d-quer +/- Delta d-quer ?</t>
  </si>
  <si>
    <t>Grafische Methode (Trendlinie aus den Diagrammen auf 'Auswertung'):</t>
  </si>
  <si>
    <t>Abbildungsgleichung: Steigung m (erwartet -1)</t>
  </si>
  <si>
    <t>Abbildungsgleichung: Achsenabschnitt c</t>
  </si>
  <si>
    <t>-&gt; f aus Trendlinie [mm]</t>
  </si>
  <si>
    <t>Abbildungsmassstab: Steigung m (erwartet 1)</t>
  </si>
  <si>
    <t>Abbildungsmassstab: Achsenabschnitt c (erwartet 0)</t>
  </si>
  <si>
    <t>Fehler Delta-b [mm]</t>
  </si>
  <si>
    <t>Delta-b [mm] (= B8, fuer alle Zeilen)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</si>
</sst>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Arial"/>
      <family val="2"/>
    </font>
    <font>
      <b/>
      <sz val="11"/>
      <name val="Arial"/>
      <family val="2"/>
    </font>
    <font>
      <b/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0" fillId="3" borderId="0" xfId="0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Abbildungsgleichung: 1/b gegen 1/g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Messwerte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1F5C99"/>
              </a:solidFill>
              <a:ln>
                <a:solidFill>
                  <a:srgbClr val="1F5C99"/>
                </a:solidFill>
              </a:ln>
            </c:spPr>
          </c:marker>
          <c:trendline>
            <c:spPr>
              <a:ln w="19050">
                <a:solidFill>
                  <a:srgbClr val="B45309"/>
                </a:solidFill>
                <a:prstDash val="dash"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Auswertung!$E$2:$E$10</c:f>
              <c:numCache>
                <c:formatCode>0.000</c:formatCode>
                <c:ptCount val="9"/>
                <c:pt idx="0">
                  <c:v>2E-3</c:v>
                </c:pt>
                <c:pt idx="1">
                  <c:v>2.2222222222222222E-3</c:v>
                </c:pt>
                <c:pt idx="2">
                  <c:v>2.5000000000000001E-3</c:v>
                </c:pt>
                <c:pt idx="3">
                  <c:v>2.8571428571428571E-3</c:v>
                </c:pt>
                <c:pt idx="4">
                  <c:v>3.3333333333333335E-3</c:v>
                </c:pt>
                <c:pt idx="5">
                  <c:v>4.0000000000000001E-3</c:v>
                </c:pt>
                <c:pt idx="6">
                  <c:v>5.0000000000000001E-3</c:v>
                </c:pt>
                <c:pt idx="7">
                  <c:v>6.6666666666666671E-3</c:v>
                </c:pt>
                <c:pt idx="8">
                  <c:v>0.01</c:v>
                </c:pt>
              </c:numCache>
            </c:numRef>
          </c:xVal>
          <c:yVal>
            <c:numRef>
              <c:f>Auswertung!$F$2:$F$10</c:f>
              <c:numCache>
                <c:formatCode>0.000</c:formatCode>
                <c:ptCount val="9"/>
                <c:pt idx="0">
                  <c:v>1.2500000000000001E-2</c:v>
                </c:pt>
                <c:pt idx="1">
                  <c:v>1.1764705882352941E-2</c:v>
                </c:pt>
                <c:pt idx="2">
                  <c:v>1.1235955056179777E-2</c:v>
                </c:pt>
                <c:pt idx="3">
                  <c:v>1.0752688172043013E-2</c:v>
                </c:pt>
                <c:pt idx="4">
                  <c:v>1.0526315789473684E-2</c:v>
                </c:pt>
                <c:pt idx="5">
                  <c:v>9.8039215686274491E-3</c:v>
                </c:pt>
                <c:pt idx="6">
                  <c:v>8.6956521739130436E-3</c:v>
                </c:pt>
                <c:pt idx="7">
                  <c:v>6.756756756756758E-3</c:v>
                </c:pt>
                <c:pt idx="8">
                  <c:v>3.0487804878048782E-3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BD-44EE-BB7E-A9AF135A5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11111"/>
        <c:axId val="222222222"/>
      </c:scatterChart>
      <c:val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1/g  [1/mm]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222222222"/>
        <c:crosses val="autoZero"/>
        <c:crossBetween val="midCat"/>
      </c:valAx>
      <c:valAx>
        <c:axId val="2222222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1/b  [1/mm]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crossAx val="11111111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Abbildungsmassstab: B/G gegen b/g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Messwerte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2E7D32"/>
              </a:solidFill>
              <a:ln>
                <a:solidFill>
                  <a:srgbClr val="2E7D32"/>
                </a:solidFill>
              </a:ln>
            </c:spPr>
          </c:marker>
          <c:trendline>
            <c:spPr>
              <a:ln w="19050">
                <a:solidFill>
                  <a:srgbClr val="B45309"/>
                </a:solidFill>
                <a:prstDash val="dash"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Auswertung!$I$2:$I$10</c:f>
              <c:numCache>
                <c:formatCode>0.00</c:formatCode>
                <c:ptCount val="9"/>
                <c:pt idx="0">
                  <c:v>0.16</c:v>
                </c:pt>
                <c:pt idx="1">
                  <c:v>0.18888888888888888</c:v>
                </c:pt>
                <c:pt idx="2">
                  <c:v>0.22249999999999998</c:v>
                </c:pt>
                <c:pt idx="3">
                  <c:v>0.26571428571428563</c:v>
                </c:pt>
                <c:pt idx="4">
                  <c:v>0.31666666666666665</c:v>
                </c:pt>
                <c:pt idx="5">
                  <c:v>0.40800000000000014</c:v>
                </c:pt>
                <c:pt idx="6">
                  <c:v>0.57499999999999996</c:v>
                </c:pt>
                <c:pt idx="7">
                  <c:v>0.98666666666666647</c:v>
                </c:pt>
                <c:pt idx="8">
                  <c:v>3.28</c:v>
                </c:pt>
              </c:numCache>
            </c:numRef>
          </c:xVal>
          <c:yVal>
            <c:numRef>
              <c:f>Auswertung!$H$2:$H$10</c:f>
              <c:numCache>
                <c:formatCode>0.00</c:formatCode>
                <c:ptCount val="9"/>
                <c:pt idx="0">
                  <c:v>0.16666666666666666</c:v>
                </c:pt>
                <c:pt idx="1">
                  <c:v>0.22222222222222221</c:v>
                </c:pt>
                <c:pt idx="2">
                  <c:v>0.27777777777777779</c:v>
                </c:pt>
                <c:pt idx="3">
                  <c:v>0.33333333333333331</c:v>
                </c:pt>
                <c:pt idx="4">
                  <c:v>0.3888888888888889</c:v>
                </c:pt>
                <c:pt idx="5">
                  <c:v>0.44444444444444442</c:v>
                </c:pt>
                <c:pt idx="6">
                  <c:v>0.61111111111111116</c:v>
                </c:pt>
                <c:pt idx="7">
                  <c:v>1.1111111111111112</c:v>
                </c:pt>
                <c:pt idx="8">
                  <c:v>3.3333333333333335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B3-46AF-A4D1-7931C39AA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333333"/>
        <c:axId val="444444444"/>
      </c:scatterChart>
      <c:valAx>
        <c:axId val="333333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b/g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444444444"/>
        <c:crosses val="autoZero"/>
        <c:crossBetween val="midCat"/>
      </c:valAx>
      <c:valAx>
        <c:axId val="4444444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B/G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333333333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19</xdr:col>
      <xdr:colOff>0</xdr:colOff>
      <xdr:row>19</xdr:row>
      <xdr:rowOff>0</xdr:rowOff>
    </xdr:to>
    <xdr:graphicFrame macro="">
      <xdr:nvGraphicFramePr>
        <xdr:cNvPr id="2" name="Diagramm Abbildungsgleichu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19</xdr:col>
      <xdr:colOff>0</xdr:colOff>
      <xdr:row>38</xdr:row>
      <xdr:rowOff>0</xdr:rowOff>
    </xdr:to>
    <xdr:graphicFrame macro="">
      <xdr:nvGraphicFramePr>
        <xdr:cNvPr id="3" name="Diagramm Abbildungsmassstab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3.5" x14ac:dyDescent="0.35"/>
  <cols>
    <col min="1" max="1" width="18.5625" customWidth="1"/>
    <col min="2" max="4" width="16.5625" customWidth="1"/>
    <col min="5" max="5" width="14.5625" customWidth="1"/>
    <col min="7" max="7" width="60.5625" customWidth="1"/>
  </cols>
  <sheetData>
    <row r="1" spans="1:7" ht="67.900000000000006" customHeight="1" x14ac:dyDescent="0.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G1" s="8" t="s">
        <v>15</v>
      </c>
    </row>
    <row r="2" spans="1:7" x14ac:dyDescent="0.35">
      <c r="A2" s="2">
        <v>9</v>
      </c>
      <c r="B2" s="2">
        <v>10</v>
      </c>
      <c r="C2" s="2">
        <v>60</v>
      </c>
      <c r="D2" s="2">
        <v>68</v>
      </c>
      <c r="E2" s="2">
        <v>0.3</v>
      </c>
      <c r="G2" s="8"/>
    </row>
    <row r="3" spans="1:7" x14ac:dyDescent="0.35">
      <c r="A3" s="2"/>
      <c r="B3" s="2"/>
      <c r="C3" s="2">
        <v>55</v>
      </c>
      <c r="D3" s="2">
        <v>63.5</v>
      </c>
      <c r="E3" s="2">
        <v>0.4</v>
      </c>
      <c r="G3" s="8"/>
    </row>
    <row r="4" spans="1:7" x14ac:dyDescent="0.35">
      <c r="A4" s="2"/>
      <c r="B4" s="2"/>
      <c r="C4" s="2">
        <v>50</v>
      </c>
      <c r="D4" s="2">
        <v>58.9</v>
      </c>
      <c r="E4" s="2">
        <v>0.5</v>
      </c>
      <c r="G4" s="8"/>
    </row>
    <row r="5" spans="1:7" x14ac:dyDescent="0.35">
      <c r="A5" s="2"/>
      <c r="B5" s="2"/>
      <c r="C5" s="2">
        <v>45</v>
      </c>
      <c r="D5" s="2">
        <v>54.3</v>
      </c>
      <c r="E5" s="2">
        <v>0.6</v>
      </c>
      <c r="G5" s="8"/>
    </row>
    <row r="6" spans="1:7" x14ac:dyDescent="0.35">
      <c r="A6" s="2"/>
      <c r="B6" s="2"/>
      <c r="C6" s="2">
        <v>40</v>
      </c>
      <c r="D6" s="2">
        <v>49.5</v>
      </c>
      <c r="E6" s="2">
        <v>0.7</v>
      </c>
      <c r="G6" s="8"/>
    </row>
    <row r="7" spans="1:7" x14ac:dyDescent="0.35">
      <c r="A7" s="2"/>
      <c r="B7" s="2"/>
      <c r="C7" s="2">
        <v>35</v>
      </c>
      <c r="D7" s="2">
        <v>45.2</v>
      </c>
      <c r="E7" s="2">
        <v>0.8</v>
      </c>
      <c r="G7" s="8"/>
    </row>
    <row r="8" spans="1:7" x14ac:dyDescent="0.35">
      <c r="A8" s="2"/>
      <c r="B8" s="2"/>
      <c r="C8" s="2">
        <v>30</v>
      </c>
      <c r="D8" s="2">
        <v>41.5</v>
      </c>
      <c r="E8" s="2">
        <v>1.1000000000000001</v>
      </c>
      <c r="G8" s="8"/>
    </row>
    <row r="9" spans="1:7" x14ac:dyDescent="0.35">
      <c r="A9" s="2"/>
      <c r="B9" s="2"/>
      <c r="C9" s="2">
        <v>25</v>
      </c>
      <c r="D9" s="2">
        <v>39.799999999999997</v>
      </c>
      <c r="E9" s="2">
        <v>2</v>
      </c>
    </row>
    <row r="10" spans="1:7" x14ac:dyDescent="0.35">
      <c r="A10" s="2"/>
      <c r="B10" s="2"/>
      <c r="C10" s="2">
        <v>20</v>
      </c>
      <c r="D10" s="2">
        <v>52.8</v>
      </c>
      <c r="E10" s="2">
        <v>6</v>
      </c>
    </row>
    <row r="11" spans="1:7" x14ac:dyDescent="0.35">
      <c r="A11" s="2"/>
      <c r="B11" s="2"/>
      <c r="C11" s="2">
        <v>17.5</v>
      </c>
      <c r="D11" s="2"/>
      <c r="E11" s="2"/>
    </row>
    <row r="12" spans="1:7" x14ac:dyDescent="0.35">
      <c r="A12" s="2"/>
      <c r="B12" s="2"/>
      <c r="C12" s="2">
        <v>15</v>
      </c>
      <c r="D12" s="2"/>
      <c r="E12" s="2"/>
    </row>
    <row r="13" spans="1:7" x14ac:dyDescent="0.35">
      <c r="A13" s="2"/>
      <c r="B13" s="2"/>
      <c r="C13" s="2"/>
      <c r="D13" s="2"/>
      <c r="E13" s="2"/>
    </row>
    <row r="14" spans="1:7" x14ac:dyDescent="0.35">
      <c r="A14" s="2"/>
      <c r="B14" s="2"/>
      <c r="C14" s="2"/>
      <c r="D14" s="2"/>
      <c r="E14" s="2"/>
    </row>
    <row r="15" spans="1:7" x14ac:dyDescent="0.35">
      <c r="A15" s="2"/>
      <c r="B15" s="2"/>
      <c r="C15" s="2"/>
      <c r="D15" s="2"/>
      <c r="E15" s="2"/>
    </row>
    <row r="16" spans="1:7" x14ac:dyDescent="0.35">
      <c r="A16" s="2"/>
      <c r="B16" s="2"/>
      <c r="C16" s="2"/>
      <c r="D16" s="2"/>
      <c r="E16" s="2"/>
    </row>
    <row r="17" spans="1:5" x14ac:dyDescent="0.35">
      <c r="A17" s="2"/>
      <c r="B17" s="2"/>
      <c r="C17" s="2"/>
      <c r="D17" s="2"/>
      <c r="E17" s="2"/>
    </row>
    <row r="18" spans="1:5" x14ac:dyDescent="0.35">
      <c r="A18" s="2"/>
      <c r="B18" s="2"/>
      <c r="C18" s="2"/>
      <c r="D18" s="2"/>
      <c r="E18" s="2"/>
    </row>
    <row r="19" spans="1:5" x14ac:dyDescent="0.35">
      <c r="A19" s="2"/>
      <c r="B19" s="2"/>
      <c r="C19" s="2"/>
      <c r="D19" s="2"/>
      <c r="E19" s="2"/>
    </row>
    <row r="20" spans="1:5" x14ac:dyDescent="0.35">
      <c r="A20" s="2"/>
      <c r="B20" s="2"/>
      <c r="C20" s="2"/>
      <c r="D20" s="2"/>
      <c r="E20" s="2"/>
    </row>
    <row r="21" spans="1:5" x14ac:dyDescent="0.35">
      <c r="A21" s="2"/>
      <c r="B21" s="2"/>
      <c r="C21" s="2"/>
      <c r="D21" s="2"/>
      <c r="E21" s="2"/>
    </row>
  </sheetData>
  <mergeCells count="1">
    <mergeCell ref="G1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opLeftCell="G1" workbookViewId="0">
      <pane ySplit="1" topLeftCell="A2" activePane="bottomLeft" state="frozen"/>
      <selection pane="bottomLeft"/>
    </sheetView>
  </sheetViews>
  <sheetFormatPr defaultRowHeight="13.5" x14ac:dyDescent="0.35"/>
  <cols>
    <col min="1" max="4" width="9" customWidth="1"/>
    <col min="5" max="7" width="13" customWidth="1"/>
    <col min="8" max="9" width="9" customWidth="1"/>
    <col min="11" max="11" width="34.5625" customWidth="1"/>
  </cols>
  <sheetData>
    <row r="1" spans="1:12" ht="13.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9</v>
      </c>
    </row>
    <row r="2" spans="1:12" x14ac:dyDescent="0.35">
      <c r="A2" s="2">
        <f>IF(Messdaten!C2="","",(Messdaten!C2-Messdaten!$B$2)*10)</f>
        <v>500</v>
      </c>
      <c r="B2" s="2">
        <f>IF(OR(Messdaten!D2="",Messdaten!C2=""),"",(Messdaten!D2-Messdaten!C2)*10)</f>
        <v>80</v>
      </c>
      <c r="C2" s="2">
        <f>IF(Messdaten!E2="","",Messdaten!E2*10)</f>
        <v>3</v>
      </c>
      <c r="D2" s="2">
        <f>IF(Fehlerrechnung!$B$4="","",Fehlerrechnung!$B$4)</f>
        <v>18</v>
      </c>
      <c r="E2" s="3">
        <f t="shared" ref="E2:E21" si="0">IF(A2="","",1/A2)</f>
        <v>2E-3</v>
      </c>
      <c r="F2" s="3">
        <f t="shared" ref="F2:F21" si="1">IF(B2="","",1/B2)</f>
        <v>1.2500000000000001E-2</v>
      </c>
      <c r="G2" s="3">
        <f t="shared" ref="G2:G21" si="2">IF(OR(E2="",F2=""),"",E2+F2)</f>
        <v>1.4500000000000001E-2</v>
      </c>
      <c r="H2" s="4">
        <f t="shared" ref="H2:H21" si="3">IF(OR(C2="",D2=""),"",C2/D2)</f>
        <v>0.16666666666666666</v>
      </c>
      <c r="I2" s="4">
        <f t="shared" ref="I2:I21" si="4">IF(OR(A2="",B2=""),"",B2/A2)</f>
        <v>0.16</v>
      </c>
    </row>
    <row r="3" spans="1:12" ht="13.9" x14ac:dyDescent="0.4">
      <c r="A3" s="2">
        <f>IF(Messdaten!C3="","",(Messdaten!C3-Messdaten!$B$2)*10)</f>
        <v>450</v>
      </c>
      <c r="B3" s="2">
        <f>IF(OR(Messdaten!D3="",Messdaten!C3=""),"",(Messdaten!D3-Messdaten!C3)*10)</f>
        <v>85</v>
      </c>
      <c r="C3" s="2">
        <f>IF(Messdaten!E3="","",Messdaten!E3*10)</f>
        <v>4</v>
      </c>
      <c r="D3" s="2">
        <f>IF(Fehlerrechnung!$B$4="","",Fehlerrechnung!$B$4)</f>
        <v>18</v>
      </c>
      <c r="E3" s="3">
        <f t="shared" si="0"/>
        <v>2.2222222222222222E-3</v>
      </c>
      <c r="F3" s="3">
        <f t="shared" si="1"/>
        <v>1.1764705882352941E-2</v>
      </c>
      <c r="G3" s="3">
        <f t="shared" si="2"/>
        <v>1.3986928104575164E-2</v>
      </c>
      <c r="H3" s="4">
        <f t="shared" si="3"/>
        <v>0.22222222222222221</v>
      </c>
      <c r="I3" s="4">
        <f t="shared" si="4"/>
        <v>0.18888888888888888</v>
      </c>
      <c r="K3" s="6"/>
      <c r="L3" s="5"/>
    </row>
    <row r="4" spans="1:12" x14ac:dyDescent="0.35">
      <c r="A4" s="2">
        <f>IF(Messdaten!C4="","",(Messdaten!C4-Messdaten!$B$2)*10)</f>
        <v>400</v>
      </c>
      <c r="B4" s="2">
        <f>IF(OR(Messdaten!D4="",Messdaten!C4=""),"",(Messdaten!D4-Messdaten!C4)*10)</f>
        <v>88.999999999999986</v>
      </c>
      <c r="C4" s="2">
        <f>IF(Messdaten!E4="","",Messdaten!E4*10)</f>
        <v>5</v>
      </c>
      <c r="D4" s="2">
        <f>IF(Fehlerrechnung!$B$4="","",Fehlerrechnung!$B$4)</f>
        <v>18</v>
      </c>
      <c r="E4" s="3">
        <f t="shared" si="0"/>
        <v>2.5000000000000001E-3</v>
      </c>
      <c r="F4" s="3">
        <f t="shared" si="1"/>
        <v>1.1235955056179777E-2</v>
      </c>
      <c r="G4" s="3">
        <f t="shared" si="2"/>
        <v>1.3735955056179777E-2</v>
      </c>
      <c r="H4" s="4">
        <f t="shared" si="3"/>
        <v>0.27777777777777779</v>
      </c>
      <c r="I4" s="4">
        <f t="shared" si="4"/>
        <v>0.22249999999999998</v>
      </c>
    </row>
    <row r="5" spans="1:12" x14ac:dyDescent="0.35">
      <c r="A5" s="2">
        <f>IF(Messdaten!C5="","",(Messdaten!C5-Messdaten!$B$2)*10)</f>
        <v>350</v>
      </c>
      <c r="B5" s="2">
        <f>IF(OR(Messdaten!D5="",Messdaten!C5=""),"",(Messdaten!D5-Messdaten!C5)*10)</f>
        <v>92.999999999999972</v>
      </c>
      <c r="C5" s="2">
        <f>IF(Messdaten!E5="","",Messdaten!E5*10)</f>
        <v>6</v>
      </c>
      <c r="D5" s="2">
        <f>IF(Fehlerrechnung!$B$4="","",Fehlerrechnung!$B$4)</f>
        <v>18</v>
      </c>
      <c r="E5" s="3">
        <f t="shared" si="0"/>
        <v>2.8571428571428571E-3</v>
      </c>
      <c r="F5" s="3">
        <f t="shared" si="1"/>
        <v>1.0752688172043013E-2</v>
      </c>
      <c r="G5" s="3">
        <f t="shared" si="2"/>
        <v>1.360983102918587E-2</v>
      </c>
      <c r="H5" s="4">
        <f t="shared" si="3"/>
        <v>0.33333333333333331</v>
      </c>
      <c r="I5" s="4">
        <f t="shared" si="4"/>
        <v>0.26571428571428563</v>
      </c>
    </row>
    <row r="6" spans="1:12" x14ac:dyDescent="0.35">
      <c r="A6" s="2">
        <f>IF(Messdaten!C6="","",(Messdaten!C6-Messdaten!$B$2)*10)</f>
        <v>300</v>
      </c>
      <c r="B6" s="2">
        <f>IF(OR(Messdaten!D6="",Messdaten!C6=""),"",(Messdaten!D6-Messdaten!C6)*10)</f>
        <v>95</v>
      </c>
      <c r="C6" s="2">
        <f>IF(Messdaten!E6="","",Messdaten!E6*10)</f>
        <v>7</v>
      </c>
      <c r="D6" s="2">
        <f>IF(Fehlerrechnung!$B$4="","",Fehlerrechnung!$B$4)</f>
        <v>18</v>
      </c>
      <c r="E6" s="3">
        <f t="shared" si="0"/>
        <v>3.3333333333333335E-3</v>
      </c>
      <c r="F6" s="3">
        <f t="shared" si="1"/>
        <v>1.0526315789473684E-2</v>
      </c>
      <c r="G6" s="3">
        <f t="shared" si="2"/>
        <v>1.3859649122807018E-2</v>
      </c>
      <c r="H6" s="4">
        <f t="shared" si="3"/>
        <v>0.3888888888888889</v>
      </c>
      <c r="I6" s="4">
        <f t="shared" si="4"/>
        <v>0.31666666666666665</v>
      </c>
    </row>
    <row r="7" spans="1:12" x14ac:dyDescent="0.35">
      <c r="A7" s="2">
        <f>IF(Messdaten!C7="","",(Messdaten!C7-Messdaten!$B$2)*10)</f>
        <v>250</v>
      </c>
      <c r="B7" s="2">
        <f>IF(OR(Messdaten!D7="",Messdaten!C7=""),"",(Messdaten!D7-Messdaten!C7)*10)</f>
        <v>102.00000000000003</v>
      </c>
      <c r="C7" s="2">
        <f>IF(Messdaten!E7="","",Messdaten!E7*10)</f>
        <v>8</v>
      </c>
      <c r="D7" s="2">
        <f>IF(Fehlerrechnung!$B$4="","",Fehlerrechnung!$B$4)</f>
        <v>18</v>
      </c>
      <c r="E7" s="3">
        <f t="shared" si="0"/>
        <v>4.0000000000000001E-3</v>
      </c>
      <c r="F7" s="3">
        <f t="shared" si="1"/>
        <v>9.8039215686274491E-3</v>
      </c>
      <c r="G7" s="3">
        <f t="shared" si="2"/>
        <v>1.3803921568627449E-2</v>
      </c>
      <c r="H7" s="4">
        <f t="shared" si="3"/>
        <v>0.44444444444444442</v>
      </c>
      <c r="I7" s="4">
        <f t="shared" si="4"/>
        <v>0.40800000000000014</v>
      </c>
    </row>
    <row r="8" spans="1:12" x14ac:dyDescent="0.35">
      <c r="A8" s="2">
        <f>IF(Messdaten!C8="","",(Messdaten!C8-Messdaten!$B$2)*10)</f>
        <v>200</v>
      </c>
      <c r="B8" s="2">
        <f>IF(OR(Messdaten!D8="",Messdaten!C8=""),"",(Messdaten!D8-Messdaten!C8)*10)</f>
        <v>115</v>
      </c>
      <c r="C8" s="2">
        <f>IF(Messdaten!E8="","",Messdaten!E8*10)</f>
        <v>11</v>
      </c>
      <c r="D8" s="2">
        <f>IF(Fehlerrechnung!$B$4="","",Fehlerrechnung!$B$4)</f>
        <v>18</v>
      </c>
      <c r="E8" s="3">
        <f t="shared" si="0"/>
        <v>5.0000000000000001E-3</v>
      </c>
      <c r="F8" s="3">
        <f t="shared" si="1"/>
        <v>8.6956521739130436E-3</v>
      </c>
      <c r="G8" s="3">
        <f t="shared" si="2"/>
        <v>1.3695652173913043E-2</v>
      </c>
      <c r="H8" s="4">
        <f t="shared" si="3"/>
        <v>0.61111111111111116</v>
      </c>
      <c r="I8" s="4">
        <f t="shared" si="4"/>
        <v>0.57499999999999996</v>
      </c>
    </row>
    <row r="9" spans="1:12" x14ac:dyDescent="0.35">
      <c r="A9" s="2">
        <f>IF(Messdaten!C9="","",(Messdaten!C9-Messdaten!$B$2)*10)</f>
        <v>150</v>
      </c>
      <c r="B9" s="2">
        <f>IF(OR(Messdaten!D9="",Messdaten!C9=""),"",(Messdaten!D9-Messdaten!C9)*10)</f>
        <v>147.99999999999997</v>
      </c>
      <c r="C9" s="2">
        <f>IF(Messdaten!E9="","",Messdaten!E9*10)</f>
        <v>20</v>
      </c>
      <c r="D9" s="2">
        <f>IF(Fehlerrechnung!$B$4="","",Fehlerrechnung!$B$4)</f>
        <v>18</v>
      </c>
      <c r="E9" s="3">
        <f t="shared" si="0"/>
        <v>6.6666666666666671E-3</v>
      </c>
      <c r="F9" s="3">
        <f t="shared" si="1"/>
        <v>6.756756756756758E-3</v>
      </c>
      <c r="G9" s="3">
        <f t="shared" si="2"/>
        <v>1.3423423423423425E-2</v>
      </c>
      <c r="H9" s="4">
        <f t="shared" si="3"/>
        <v>1.1111111111111112</v>
      </c>
      <c r="I9" s="4">
        <f t="shared" si="4"/>
        <v>0.98666666666666647</v>
      </c>
    </row>
    <row r="10" spans="1:12" x14ac:dyDescent="0.35">
      <c r="A10" s="2">
        <f>IF(Messdaten!C10="","",(Messdaten!C10-Messdaten!$B$2)*10)</f>
        <v>100</v>
      </c>
      <c r="B10" s="2">
        <f>IF(OR(Messdaten!D10="",Messdaten!C10=""),"",(Messdaten!D10-Messdaten!C10)*10)</f>
        <v>328</v>
      </c>
      <c r="C10" s="2">
        <f>IF(Messdaten!E10="","",Messdaten!E10*10)</f>
        <v>60</v>
      </c>
      <c r="D10" s="2">
        <f>IF(Fehlerrechnung!$B$4="","",Fehlerrechnung!$B$4)</f>
        <v>18</v>
      </c>
      <c r="E10" s="3">
        <f t="shared" si="0"/>
        <v>0.01</v>
      </c>
      <c r="F10" s="3">
        <f t="shared" si="1"/>
        <v>3.0487804878048782E-3</v>
      </c>
      <c r="G10" s="3">
        <f t="shared" si="2"/>
        <v>1.3048780487804879E-2</v>
      </c>
      <c r="H10" s="4">
        <f t="shared" si="3"/>
        <v>3.3333333333333335</v>
      </c>
      <c r="I10" s="4">
        <f t="shared" si="4"/>
        <v>3.28</v>
      </c>
    </row>
    <row r="11" spans="1:12" x14ac:dyDescent="0.35">
      <c r="A11" s="2">
        <f>IF(Messdaten!C11="","",(Messdaten!C11-Messdaten!$B$2)*10)</f>
        <v>75</v>
      </c>
      <c r="B11" s="2" t="str">
        <f>IF(OR(Messdaten!D11="",Messdaten!C11=""),"",(Messdaten!D11-Messdaten!C11)*10)</f>
        <v/>
      </c>
      <c r="C11" s="2" t="str">
        <f>IF(Messdaten!E11="","",Messdaten!E11*10)</f>
        <v/>
      </c>
      <c r="D11" s="2">
        <f>IF(Fehlerrechnung!$B$4="","",Fehlerrechnung!$B$4)</f>
        <v>18</v>
      </c>
      <c r="E11" s="3">
        <f t="shared" si="0"/>
        <v>1.3333333333333334E-2</v>
      </c>
      <c r="F11" s="3" t="str">
        <f t="shared" si="1"/>
        <v/>
      </c>
      <c r="G11" s="3" t="str">
        <f t="shared" si="2"/>
        <v/>
      </c>
      <c r="H11" s="4" t="str">
        <f t="shared" si="3"/>
        <v/>
      </c>
      <c r="I11" s="4" t="str">
        <f t="shared" si="4"/>
        <v/>
      </c>
    </row>
    <row r="12" spans="1:12" x14ac:dyDescent="0.35">
      <c r="A12" s="2">
        <f>IF(Messdaten!C12="","",(Messdaten!C12-Messdaten!$B$2)*10)</f>
        <v>50</v>
      </c>
      <c r="B12" s="2" t="str">
        <f>IF(OR(Messdaten!D12="",Messdaten!C12=""),"",(Messdaten!D12-Messdaten!C12)*10)</f>
        <v/>
      </c>
      <c r="C12" s="2" t="str">
        <f>IF(Messdaten!E12="","",Messdaten!E12*10)</f>
        <v/>
      </c>
      <c r="D12" s="2">
        <f>IF(Fehlerrechnung!$B$4="","",Fehlerrechnung!$B$4)</f>
        <v>18</v>
      </c>
      <c r="E12" s="3">
        <f t="shared" si="0"/>
        <v>0.02</v>
      </c>
      <c r="F12" s="3" t="str">
        <f t="shared" si="1"/>
        <v/>
      </c>
      <c r="G12" s="3" t="str">
        <f t="shared" si="2"/>
        <v/>
      </c>
      <c r="H12" s="4" t="str">
        <f t="shared" si="3"/>
        <v/>
      </c>
      <c r="I12" s="4" t="str">
        <f t="shared" si="4"/>
        <v/>
      </c>
    </row>
    <row r="13" spans="1:12" x14ac:dyDescent="0.35">
      <c r="A13" s="2" t="str">
        <f>IF(Messdaten!C13="","",(Messdaten!C13-Messdaten!$B$2)*10)</f>
        <v/>
      </c>
      <c r="B13" s="2" t="str">
        <f>IF(OR(Messdaten!D13="",Messdaten!C13=""),"",(Messdaten!D13-Messdaten!C13)*10)</f>
        <v/>
      </c>
      <c r="C13" s="2" t="str">
        <f>IF(Messdaten!E13="","",Messdaten!E13*10)</f>
        <v/>
      </c>
      <c r="D13" s="2">
        <f>IF(Fehlerrechnung!$B$4="","",Fehlerrechnung!$B$4)</f>
        <v>18</v>
      </c>
      <c r="E13" s="3" t="str">
        <f t="shared" si="0"/>
        <v/>
      </c>
      <c r="F13" s="3" t="str">
        <f t="shared" si="1"/>
        <v/>
      </c>
      <c r="G13" s="3" t="str">
        <f t="shared" si="2"/>
        <v/>
      </c>
      <c r="H13" s="4" t="str">
        <f t="shared" si="3"/>
        <v/>
      </c>
      <c r="I13" s="4" t="str">
        <f t="shared" si="4"/>
        <v/>
      </c>
    </row>
    <row r="14" spans="1:12" x14ac:dyDescent="0.35">
      <c r="A14" s="2" t="str">
        <f>IF(Messdaten!C14="","",(Messdaten!C14-Messdaten!$B$2)*10)</f>
        <v/>
      </c>
      <c r="B14" s="2" t="str">
        <f>IF(OR(Messdaten!D14="",Messdaten!C14=""),"",(Messdaten!D14-Messdaten!C14)*10)</f>
        <v/>
      </c>
      <c r="C14" s="2" t="str">
        <f>IF(Messdaten!E14="","",Messdaten!E14*10)</f>
        <v/>
      </c>
      <c r="D14" s="2">
        <f>IF(Fehlerrechnung!$B$4="","",Fehlerrechnung!$B$4)</f>
        <v>18</v>
      </c>
      <c r="E14" s="3" t="str">
        <f t="shared" si="0"/>
        <v/>
      </c>
      <c r="F14" s="3" t="str">
        <f t="shared" si="1"/>
        <v/>
      </c>
      <c r="G14" s="3" t="str">
        <f t="shared" si="2"/>
        <v/>
      </c>
      <c r="H14" s="4" t="str">
        <f t="shared" si="3"/>
        <v/>
      </c>
      <c r="I14" s="4" t="str">
        <f t="shared" si="4"/>
        <v/>
      </c>
    </row>
    <row r="15" spans="1:12" x14ac:dyDescent="0.35">
      <c r="A15" s="2" t="str">
        <f>IF(Messdaten!C15="","",(Messdaten!C15-Messdaten!$B$2)*10)</f>
        <v/>
      </c>
      <c r="B15" s="2" t="str">
        <f>IF(OR(Messdaten!D15="",Messdaten!C15=""),"",(Messdaten!D15-Messdaten!C15)*10)</f>
        <v/>
      </c>
      <c r="C15" s="2" t="str">
        <f>IF(Messdaten!E15="","",Messdaten!E15*10)</f>
        <v/>
      </c>
      <c r="D15" s="2">
        <f>IF(Fehlerrechnung!$B$4="","",Fehlerrechnung!$B$4)</f>
        <v>18</v>
      </c>
      <c r="E15" s="3" t="str">
        <f t="shared" si="0"/>
        <v/>
      </c>
      <c r="F15" s="3" t="str">
        <f t="shared" si="1"/>
        <v/>
      </c>
      <c r="G15" s="3" t="str">
        <f t="shared" si="2"/>
        <v/>
      </c>
      <c r="H15" s="4" t="str">
        <f t="shared" si="3"/>
        <v/>
      </c>
      <c r="I15" s="4" t="str">
        <f t="shared" si="4"/>
        <v/>
      </c>
    </row>
    <row r="16" spans="1:12" x14ac:dyDescent="0.35">
      <c r="A16" s="2" t="str">
        <f>IF(Messdaten!C16="","",(Messdaten!C16-Messdaten!$B$2)*10)</f>
        <v/>
      </c>
      <c r="B16" s="2" t="str">
        <f>IF(OR(Messdaten!D16="",Messdaten!C16=""),"",(Messdaten!D16-Messdaten!C16)*10)</f>
        <v/>
      </c>
      <c r="C16" s="2" t="str">
        <f>IF(Messdaten!E16="","",Messdaten!E16*10)</f>
        <v/>
      </c>
      <c r="D16" s="2">
        <f>IF(Fehlerrechnung!$B$4="","",Fehlerrechnung!$B$4)</f>
        <v>18</v>
      </c>
      <c r="E16" s="3" t="str">
        <f t="shared" si="0"/>
        <v/>
      </c>
      <c r="F16" s="3" t="str">
        <f t="shared" si="1"/>
        <v/>
      </c>
      <c r="G16" s="3" t="str">
        <f t="shared" si="2"/>
        <v/>
      </c>
      <c r="H16" s="4" t="str">
        <f t="shared" si="3"/>
        <v/>
      </c>
      <c r="I16" s="4" t="str">
        <f t="shared" si="4"/>
        <v/>
      </c>
    </row>
    <row r="17" spans="1:9" x14ac:dyDescent="0.35">
      <c r="A17" s="2" t="str">
        <f>IF(Messdaten!C17="","",(Messdaten!C17-Messdaten!$B$2)*10)</f>
        <v/>
      </c>
      <c r="B17" s="2" t="str">
        <f>IF(OR(Messdaten!D17="",Messdaten!C17=""),"",(Messdaten!D17-Messdaten!C17)*10)</f>
        <v/>
      </c>
      <c r="C17" s="2" t="str">
        <f>IF(Messdaten!E17="","",Messdaten!E17*10)</f>
        <v/>
      </c>
      <c r="D17" s="2">
        <f>IF(Fehlerrechnung!$B$4="","",Fehlerrechnung!$B$4)</f>
        <v>18</v>
      </c>
      <c r="E17" s="3" t="str">
        <f t="shared" si="0"/>
        <v/>
      </c>
      <c r="F17" s="3" t="str">
        <f t="shared" si="1"/>
        <v/>
      </c>
      <c r="G17" s="3" t="str">
        <f t="shared" si="2"/>
        <v/>
      </c>
      <c r="H17" s="4" t="str">
        <f t="shared" si="3"/>
        <v/>
      </c>
      <c r="I17" s="4" t="str">
        <f t="shared" si="4"/>
        <v/>
      </c>
    </row>
    <row r="18" spans="1:9" x14ac:dyDescent="0.35">
      <c r="A18" s="2" t="str">
        <f>IF(Messdaten!C18="","",(Messdaten!C18-Messdaten!$B$2)*10)</f>
        <v/>
      </c>
      <c r="B18" s="2" t="str">
        <f>IF(OR(Messdaten!D18="",Messdaten!C18=""),"",(Messdaten!D18-Messdaten!C18)*10)</f>
        <v/>
      </c>
      <c r="C18" s="2" t="str">
        <f>IF(Messdaten!E18="","",Messdaten!E18*10)</f>
        <v/>
      </c>
      <c r="D18" s="2">
        <f>IF(Fehlerrechnung!$B$4="","",Fehlerrechnung!$B$4)</f>
        <v>18</v>
      </c>
      <c r="E18" s="3" t="str">
        <f t="shared" si="0"/>
        <v/>
      </c>
      <c r="F18" s="3" t="str">
        <f t="shared" si="1"/>
        <v/>
      </c>
      <c r="G18" s="3" t="str">
        <f t="shared" si="2"/>
        <v/>
      </c>
      <c r="H18" s="4" t="str">
        <f t="shared" si="3"/>
        <v/>
      </c>
      <c r="I18" s="4" t="str">
        <f t="shared" si="4"/>
        <v/>
      </c>
    </row>
    <row r="19" spans="1:9" x14ac:dyDescent="0.35">
      <c r="A19" s="2" t="str">
        <f>IF(Messdaten!C19="","",(Messdaten!C19-Messdaten!$B$2)*10)</f>
        <v/>
      </c>
      <c r="B19" s="2" t="str">
        <f>IF(OR(Messdaten!D19="",Messdaten!C19=""),"",(Messdaten!D19-Messdaten!C19)*10)</f>
        <v/>
      </c>
      <c r="C19" s="2" t="str">
        <f>IF(Messdaten!E19="","",Messdaten!E19*10)</f>
        <v/>
      </c>
      <c r="D19" s="2">
        <f>IF(Fehlerrechnung!$B$4="","",Fehlerrechnung!$B$4)</f>
        <v>18</v>
      </c>
      <c r="E19" s="3" t="str">
        <f t="shared" si="0"/>
        <v/>
      </c>
      <c r="F19" s="3" t="str">
        <f t="shared" si="1"/>
        <v/>
      </c>
      <c r="G19" s="3" t="str">
        <f t="shared" si="2"/>
        <v/>
      </c>
      <c r="H19" s="4" t="str">
        <f t="shared" si="3"/>
        <v/>
      </c>
      <c r="I19" s="4" t="str">
        <f t="shared" si="4"/>
        <v/>
      </c>
    </row>
    <row r="20" spans="1:9" x14ac:dyDescent="0.35">
      <c r="A20" s="2" t="str">
        <f>IF(Messdaten!C20="","",(Messdaten!C20-Messdaten!$B$2)*10)</f>
        <v/>
      </c>
      <c r="B20" s="2" t="str">
        <f>IF(OR(Messdaten!D20="",Messdaten!C20=""),"",(Messdaten!D20-Messdaten!C20)*10)</f>
        <v/>
      </c>
      <c r="C20" s="2" t="str">
        <f>IF(Messdaten!E20="","",Messdaten!E20*10)</f>
        <v/>
      </c>
      <c r="D20" s="2">
        <f>IF(Fehlerrechnung!$B$4="","",Fehlerrechnung!$B$4)</f>
        <v>18</v>
      </c>
      <c r="E20" s="3" t="str">
        <f t="shared" si="0"/>
        <v/>
      </c>
      <c r="F20" s="3" t="str">
        <f t="shared" si="1"/>
        <v/>
      </c>
      <c r="G20" s="3" t="str">
        <f t="shared" si="2"/>
        <v/>
      </c>
      <c r="H20" s="4" t="str">
        <f t="shared" si="3"/>
        <v/>
      </c>
      <c r="I20" s="4" t="str">
        <f t="shared" si="4"/>
        <v/>
      </c>
    </row>
    <row r="21" spans="1:9" x14ac:dyDescent="0.35">
      <c r="A21" s="2" t="str">
        <f>IF(Messdaten!C21="","",(Messdaten!C21-Messdaten!$B$2)*10)</f>
        <v/>
      </c>
      <c r="B21" s="2" t="str">
        <f>IF(OR(Messdaten!D21="",Messdaten!C21=""),"",(Messdaten!D21-Messdaten!C21)*10)</f>
        <v/>
      </c>
      <c r="C21" s="2" t="str">
        <f>IF(Messdaten!E21="","",Messdaten!E21*10)</f>
        <v/>
      </c>
      <c r="D21" s="2">
        <f>IF(Fehlerrechnung!$B$4="","",Fehlerrechnung!$B$4)</f>
        <v>18</v>
      </c>
      <c r="E21" s="3" t="str">
        <f t="shared" si="0"/>
        <v/>
      </c>
      <c r="F21" s="3" t="str">
        <f t="shared" si="1"/>
        <v/>
      </c>
      <c r="G21" s="3" t="str">
        <f t="shared" si="2"/>
        <v/>
      </c>
      <c r="H21" s="4" t="str">
        <f t="shared" si="3"/>
        <v/>
      </c>
      <c r="I21" s="4" t="str">
        <f t="shared" si="4"/>
        <v/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A137-7CB6-4D80-8DE3-06B95FF11370}">
  <dimension ref="A1:I38"/>
  <sheetViews>
    <sheetView tabSelected="1" workbookViewId="0"/>
  </sheetViews>
  <sheetFormatPr defaultRowHeight="13.5" x14ac:dyDescent="0.35"/>
  <cols>
    <col min="1" max="1" width="42.5625" customWidth="1"/>
    <col min="2" max="2" width="14.5625" customWidth="1"/>
  </cols>
  <sheetData>
    <row r="1" spans="1:9" ht="16.899999999999999" x14ac:dyDescent="0.5">
      <c r="A1" s="7" t="s">
        <v>16</v>
      </c>
    </row>
    <row r="3" spans="1:9" ht="13.9" x14ac:dyDescent="0.4">
      <c r="A3" s="6" t="s">
        <v>17</v>
      </c>
    </row>
    <row r="4" spans="1:9" x14ac:dyDescent="0.35">
      <c r="A4" t="s">
        <v>18</v>
      </c>
      <c r="B4">
        <v>18</v>
      </c>
    </row>
    <row r="5" spans="1:9" x14ac:dyDescent="0.35">
      <c r="A5" t="s">
        <v>19</v>
      </c>
      <c r="B5" s="5"/>
    </row>
    <row r="6" spans="1:9" x14ac:dyDescent="0.35">
      <c r="A6" t="s">
        <v>20</v>
      </c>
      <c r="B6" s="5"/>
    </row>
    <row r="7" spans="1:9" x14ac:dyDescent="0.35">
      <c r="A7" t="s">
        <v>21</v>
      </c>
      <c r="B7" s="5"/>
    </row>
    <row r="8" spans="1:9" x14ac:dyDescent="0.35">
      <c r="A8" t="s">
        <v>43</v>
      </c>
      <c r="B8" s="5"/>
    </row>
    <row r="9" spans="1:9" ht="13.9" x14ac:dyDescent="0.4">
      <c r="A9" s="6" t="s">
        <v>0</v>
      </c>
      <c r="B9" s="6" t="s">
        <v>1</v>
      </c>
      <c r="C9" s="6" t="s">
        <v>2</v>
      </c>
      <c r="D9" s="6" t="s">
        <v>44</v>
      </c>
      <c r="E9" s="6" t="s">
        <v>22</v>
      </c>
      <c r="F9" s="6" t="s">
        <v>23</v>
      </c>
      <c r="G9" s="6" t="s">
        <v>24</v>
      </c>
      <c r="H9" s="6" t="s">
        <v>25</v>
      </c>
      <c r="I9" s="6" t="s">
        <v>26</v>
      </c>
    </row>
    <row r="10" spans="1:9" x14ac:dyDescent="0.35">
      <c r="A10">
        <f>Auswertung!A2</f>
        <v>500</v>
      </c>
      <c r="B10">
        <f>Auswertung!B2</f>
        <v>80</v>
      </c>
      <c r="C10">
        <f>Auswertung!C2</f>
        <v>3</v>
      </c>
      <c r="D10" t="str">
        <f t="shared" ref="D10:D18" si="0">IF($B$8="","",$B$8)</f>
        <v/>
      </c>
      <c r="E10" t="str">
        <f t="shared" ref="E10:E18" si="1">IF(OR(A10="",$B$6=""),"",$B$6/A10^2)</f>
        <v/>
      </c>
      <c r="F10" t="str">
        <f t="shared" ref="F10:F18" si="2">IF(OR(B10="",D10=""),"",D10/B10^2)</f>
        <v/>
      </c>
      <c r="G10" t="str">
        <f t="shared" ref="G10:G18" si="3">IF(OR(E10="",F10=""),"",E10+F10)</f>
        <v/>
      </c>
      <c r="H10">
        <f>IF(OR(Auswertung!I2="",Auswertung!H2=""),"",Auswertung!I2-Auswertung!H2)</f>
        <v>-6.6666666666666541E-3</v>
      </c>
      <c r="I10" t="str">
        <f>IF(OR(H10="",D10="",$B$5="",$B$6="",$B$7=""),"",Auswertung!I2*(D10/B10+$B$6/A10)+Auswertung!H2*($B$7/C10+$B$5/$B$4))</f>
        <v/>
      </c>
    </row>
    <row r="11" spans="1:9" x14ac:dyDescent="0.35">
      <c r="A11">
        <f>Auswertung!A3</f>
        <v>450</v>
      </c>
      <c r="B11">
        <f>Auswertung!B3</f>
        <v>85</v>
      </c>
      <c r="C11">
        <f>Auswertung!C3</f>
        <v>4</v>
      </c>
      <c r="D11" t="str">
        <f t="shared" si="0"/>
        <v/>
      </c>
      <c r="E11" t="str">
        <f t="shared" si="1"/>
        <v/>
      </c>
      <c r="F11" t="str">
        <f t="shared" si="2"/>
        <v/>
      </c>
      <c r="G11" t="str">
        <f t="shared" si="3"/>
        <v/>
      </c>
      <c r="H11">
        <f>IF(OR(Auswertung!I3="",Auswertung!H3=""),"",Auswertung!I3-Auswertung!H3)</f>
        <v>-3.3333333333333326E-2</v>
      </c>
      <c r="I11" t="str">
        <f>IF(OR(H11="",D11="",$B$5="",$B$6="",$B$7=""),"",Auswertung!I3*(D11/B11+$B$6/A11)+Auswertung!H3*($B$7/C11+$B$5/$B$4))</f>
        <v/>
      </c>
    </row>
    <row r="12" spans="1:9" x14ac:dyDescent="0.35">
      <c r="A12">
        <f>Auswertung!A4</f>
        <v>400</v>
      </c>
      <c r="B12">
        <f>Auswertung!B4</f>
        <v>88.999999999999986</v>
      </c>
      <c r="C12">
        <f>Auswertung!C4</f>
        <v>5</v>
      </c>
      <c r="D12" t="str">
        <f t="shared" si="0"/>
        <v/>
      </c>
      <c r="E12" t="str">
        <f t="shared" si="1"/>
        <v/>
      </c>
      <c r="F12" t="str">
        <f t="shared" si="2"/>
        <v/>
      </c>
      <c r="G12" t="str">
        <f t="shared" si="3"/>
        <v/>
      </c>
      <c r="H12">
        <f>IF(OR(Auswertung!I4="",Auswertung!H4=""),"",Auswertung!I4-Auswertung!H4)</f>
        <v>-5.5277777777777815E-2</v>
      </c>
      <c r="I12" t="str">
        <f>IF(OR(H12="",D12="",$B$5="",$B$6="",$B$7=""),"",Auswertung!I4*(D12/B12+$B$6/A12)+Auswertung!H4*($B$7/C12+$B$5/$B$4))</f>
        <v/>
      </c>
    </row>
    <row r="13" spans="1:9" x14ac:dyDescent="0.35">
      <c r="A13">
        <f>Auswertung!A5</f>
        <v>350</v>
      </c>
      <c r="B13">
        <f>Auswertung!B5</f>
        <v>92.999999999999972</v>
      </c>
      <c r="C13">
        <f>Auswertung!C5</f>
        <v>6</v>
      </c>
      <c r="D13" t="str">
        <f t="shared" si="0"/>
        <v/>
      </c>
      <c r="E13" t="str">
        <f t="shared" si="1"/>
        <v/>
      </c>
      <c r="F13" t="str">
        <f t="shared" si="2"/>
        <v/>
      </c>
      <c r="G13" t="str">
        <f t="shared" si="3"/>
        <v/>
      </c>
      <c r="H13">
        <f>IF(OR(Auswertung!I5="",Auswertung!H5=""),"",Auswertung!I5-Auswertung!H5)</f>
        <v>-6.761904761904769E-2</v>
      </c>
      <c r="I13" t="str">
        <f>IF(OR(H13="",D13="",$B$5="",$B$6="",$B$7=""),"",Auswertung!I5*(D13/B13+$B$6/A13)+Auswertung!H5*($B$7/C13+$B$5/$B$4))</f>
        <v/>
      </c>
    </row>
    <row r="14" spans="1:9" x14ac:dyDescent="0.35">
      <c r="A14">
        <f>Auswertung!A6</f>
        <v>300</v>
      </c>
      <c r="B14">
        <f>Auswertung!B6</f>
        <v>95</v>
      </c>
      <c r="C14">
        <f>Auswertung!C6</f>
        <v>7</v>
      </c>
      <c r="D14" t="str">
        <f t="shared" si="0"/>
        <v/>
      </c>
      <c r="E14" t="str">
        <f t="shared" si="1"/>
        <v/>
      </c>
      <c r="F14" t="str">
        <f t="shared" si="2"/>
        <v/>
      </c>
      <c r="G14" t="str">
        <f t="shared" si="3"/>
        <v/>
      </c>
      <c r="H14">
        <f>IF(OR(Auswertung!I6="",Auswertung!H6=""),"",Auswertung!I6-Auswertung!H6)</f>
        <v>-7.2222222222222243E-2</v>
      </c>
      <c r="I14" t="str">
        <f>IF(OR(H14="",D14="",$B$5="",$B$6="",$B$7=""),"",Auswertung!I6*(D14/B14+$B$6/A14)+Auswertung!H6*($B$7/C14+$B$5/$B$4))</f>
        <v/>
      </c>
    </row>
    <row r="15" spans="1:9" x14ac:dyDescent="0.35">
      <c r="A15">
        <f>Auswertung!A7</f>
        <v>250</v>
      </c>
      <c r="B15">
        <f>Auswertung!B7</f>
        <v>102.00000000000003</v>
      </c>
      <c r="C15">
        <f>Auswertung!C7</f>
        <v>8</v>
      </c>
      <c r="D15" t="str">
        <f t="shared" si="0"/>
        <v/>
      </c>
      <c r="E15" t="str">
        <f t="shared" si="1"/>
        <v/>
      </c>
      <c r="F15" t="str">
        <f t="shared" si="2"/>
        <v/>
      </c>
      <c r="G15" t="str">
        <f t="shared" si="3"/>
        <v/>
      </c>
      <c r="H15">
        <f>IF(OR(Auswertung!I7="",Auswertung!H7=""),"",Auswertung!I7-Auswertung!H7)</f>
        <v>-3.6444444444444279E-2</v>
      </c>
      <c r="I15" t="str">
        <f>IF(OR(H15="",D15="",$B$5="",$B$6="",$B$7=""),"",Auswertung!I7*(D15/B15+$B$6/A15)+Auswertung!H7*($B$7/C15+$B$5/$B$4))</f>
        <v/>
      </c>
    </row>
    <row r="16" spans="1:9" x14ac:dyDescent="0.35">
      <c r="A16">
        <f>Auswertung!A8</f>
        <v>200</v>
      </c>
      <c r="B16">
        <f>Auswertung!B8</f>
        <v>115</v>
      </c>
      <c r="C16">
        <f>Auswertung!C8</f>
        <v>11</v>
      </c>
      <c r="D16" t="str">
        <f t="shared" si="0"/>
        <v/>
      </c>
      <c r="E16" t="str">
        <f t="shared" si="1"/>
        <v/>
      </c>
      <c r="F16" t="str">
        <f t="shared" si="2"/>
        <v/>
      </c>
      <c r="G16" t="str">
        <f t="shared" si="3"/>
        <v/>
      </c>
      <c r="H16">
        <f>IF(OR(Auswertung!I8="",Auswertung!H8=""),"",Auswertung!I8-Auswertung!H8)</f>
        <v>-3.6111111111111205E-2</v>
      </c>
      <c r="I16" t="str">
        <f>IF(OR(H16="",D16="",$B$5="",$B$6="",$B$7=""),"",Auswertung!I8*(D16/B16+$B$6/A16)+Auswertung!H8*($B$7/C16+$B$5/$B$4))</f>
        <v/>
      </c>
    </row>
    <row r="17" spans="1:9" x14ac:dyDescent="0.35">
      <c r="A17">
        <f>Auswertung!A9</f>
        <v>150</v>
      </c>
      <c r="B17">
        <f>Auswertung!B9</f>
        <v>147.99999999999997</v>
      </c>
      <c r="C17">
        <f>Auswertung!C9</f>
        <v>20</v>
      </c>
      <c r="D17" t="str">
        <f t="shared" si="0"/>
        <v/>
      </c>
      <c r="E17" t="str">
        <f t="shared" si="1"/>
        <v/>
      </c>
      <c r="F17" t="str">
        <f t="shared" si="2"/>
        <v/>
      </c>
      <c r="G17" t="str">
        <f t="shared" si="3"/>
        <v/>
      </c>
      <c r="H17">
        <f>IF(OR(Auswertung!I9="",Auswertung!H9=""),"",Auswertung!I9-Auswertung!H9)</f>
        <v>-0.12444444444444469</v>
      </c>
      <c r="I17" t="str">
        <f>IF(OR(H17="",D17="",$B$5="",$B$6="",$B$7=""),"",Auswertung!I9*(D17/B17+$B$6/A17)+Auswertung!H9*($B$7/C17+$B$5/$B$4))</f>
        <v/>
      </c>
    </row>
    <row r="18" spans="1:9" x14ac:dyDescent="0.35">
      <c r="A18">
        <f>Auswertung!A10</f>
        <v>100</v>
      </c>
      <c r="B18">
        <f>Auswertung!B10</f>
        <v>328</v>
      </c>
      <c r="C18">
        <f>Auswertung!C10</f>
        <v>60</v>
      </c>
      <c r="D18" t="str">
        <f t="shared" si="0"/>
        <v/>
      </c>
      <c r="E18" t="str">
        <f t="shared" si="1"/>
        <v/>
      </c>
      <c r="F18" t="str">
        <f t="shared" si="2"/>
        <v/>
      </c>
      <c r="G18" t="str">
        <f t="shared" si="3"/>
        <v/>
      </c>
      <c r="H18">
        <f>IF(OR(Auswertung!I10="",Auswertung!H10=""),"",Auswertung!I10-Auswertung!H10)</f>
        <v>-5.3333333333333677E-2</v>
      </c>
      <c r="I18" t="str">
        <f>IF(OR(H18="",D18="",$B$5="",$B$6="",$B$7=""),"",Auswertung!I10*(D18/B18+$B$6/A18)+Auswertung!H10*($B$7/C18+$B$5/$B$4))</f>
        <v/>
      </c>
    </row>
    <row r="20" spans="1:9" ht="13.9" x14ac:dyDescent="0.4">
      <c r="A20" s="6" t="s">
        <v>27</v>
      </c>
    </row>
    <row r="21" spans="1:9" x14ac:dyDescent="0.35">
      <c r="A21" t="s">
        <v>28</v>
      </c>
      <c r="B21">
        <f>AVERAGE(Auswertung!G2:G10)</f>
        <v>1.3740460107390736E-2</v>
      </c>
    </row>
    <row r="22" spans="1:9" x14ac:dyDescent="0.35">
      <c r="A22" t="s">
        <v>29</v>
      </c>
      <c r="B22">
        <f>COUNT(Auswertung!G2:G10)</f>
        <v>9</v>
      </c>
    </row>
    <row r="23" spans="1:9" x14ac:dyDescent="0.35">
      <c r="A23" t="s">
        <v>30</v>
      </c>
      <c r="B23">
        <f>1/B21</f>
        <v>72.777766696627481</v>
      </c>
    </row>
    <row r="24" spans="1:9" x14ac:dyDescent="0.35">
      <c r="A24" t="s">
        <v>31</v>
      </c>
      <c r="B24" t="str">
        <f>IF(COUNT(G10:G18)&lt;B22,"",(1/B22)*SQRT(SUMSQ(G10:G18)))</f>
        <v/>
      </c>
    </row>
    <row r="25" spans="1:9" x14ac:dyDescent="0.35">
      <c r="A25" t="s">
        <v>32</v>
      </c>
      <c r="B25" t="str">
        <f>IF(B24="","",B23^2*B24)</f>
        <v/>
      </c>
    </row>
    <row r="27" spans="1:9" ht="13.9" x14ac:dyDescent="0.4">
      <c r="A27" s="6" t="s">
        <v>33</v>
      </c>
    </row>
    <row r="28" spans="1:9" x14ac:dyDescent="0.35">
      <c r="A28" t="s">
        <v>34</v>
      </c>
      <c r="B28">
        <f>AVERAGE(H10:H18)</f>
        <v>-5.3939153439153509E-2</v>
      </c>
    </row>
    <row r="29" spans="1:9" x14ac:dyDescent="0.35">
      <c r="A29" t="s">
        <v>29</v>
      </c>
      <c r="B29">
        <f>COUNT(H10:H18)</f>
        <v>9</v>
      </c>
    </row>
    <row r="30" spans="1:9" x14ac:dyDescent="0.35">
      <c r="A30" t="s">
        <v>35</v>
      </c>
      <c r="B30" t="str">
        <f>IF(COUNT(I10:I18)&lt;B29,"",(1/B29)*SQRT(SUMSQ(I10:I18)))</f>
        <v/>
      </c>
    </row>
    <row r="31" spans="1:9" x14ac:dyDescent="0.35">
      <c r="A31" t="s">
        <v>36</v>
      </c>
      <c r="B31" t="str">
        <f>IF(B30="","",IF(AND(B28-B30&lt;=0,B28+B30&gt;=0),"JA","NEIN"))</f>
        <v/>
      </c>
    </row>
    <row r="33" spans="1:2" ht="13.9" x14ac:dyDescent="0.4">
      <c r="A33" s="6" t="s">
        <v>37</v>
      </c>
    </row>
    <row r="34" spans="1:2" x14ac:dyDescent="0.35">
      <c r="A34" t="s">
        <v>38</v>
      </c>
      <c r="B34">
        <f>SLOPE(Auswertung!F2:F10,Auswertung!E2:E10)</f>
        <v>-1.1269136387200445</v>
      </c>
    </row>
    <row r="35" spans="1:2" x14ac:dyDescent="0.35">
      <c r="A35" t="s">
        <v>39</v>
      </c>
      <c r="B35">
        <f>INTERCEPT(Auswertung!F2:F10,Auswertung!E2:E10)</f>
        <v>1.4284487618694207E-2</v>
      </c>
    </row>
    <row r="36" spans="1:2" ht="13.9" x14ac:dyDescent="0.4">
      <c r="A36" s="6" t="s">
        <v>40</v>
      </c>
      <c r="B36" s="6">
        <f>1/B35</f>
        <v>70.006011184558915</v>
      </c>
    </row>
    <row r="37" spans="1:2" x14ac:dyDescent="0.35">
      <c r="A37" t="s">
        <v>41</v>
      </c>
      <c r="B37">
        <f>SLOPE(Auswertung!H2:H10,Auswertung!I2:I10)</f>
        <v>1.0060914907197056</v>
      </c>
    </row>
    <row r="38" spans="1:2" x14ac:dyDescent="0.35">
      <c r="A38" t="s">
        <v>42</v>
      </c>
      <c r="B38">
        <f>INTERCEPT(Auswertung!H2:H10,Auswertung!I2:I10)</f>
        <v>4.960510076556246E-2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Messdaten</vt:lpstr>
      <vt:lpstr>Auswertung</vt:lpstr>
      <vt:lpstr>Fehlerrechnung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Auswertung Linsenabbildung</dc:title>
  <dc:creator>Physik KFR</dc:creator>
  <cp:lastModifiedBy>Loris Keller (KFR)</cp:lastModifiedBy>
  <dcterms:created xsi:type="dcterms:W3CDTF">2026-09-12T12:00:00Z</dcterms:created>
  <dcterms:modified xsi:type="dcterms:W3CDTF">2026-09-13T12:55:07Z</dcterms:modified>
</cp:coreProperties>
</file>