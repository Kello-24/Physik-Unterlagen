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oris Keller KFR\Repos\Physik-Unterlagen\institutionen\KFR\praktika\5. Klasse\hs\09EmmN - Reflexion und Brechung\"/>
    </mc:Choice>
  </mc:AlternateContent>
  <xr:revisionPtr revIDLastSave="0" documentId="13_ncr:1_{F6084FD3-9E12-4DD7-AD88-36619F48079D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Hinweise" sheetId="1" r:id="rId1"/>
    <sheet name="Reflexion" sheetId="2" r:id="rId2"/>
    <sheet name="Brechu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3" l="1"/>
  <c r="C40" i="3"/>
  <c r="C39" i="3"/>
  <c r="C42" i="3" s="1"/>
  <c r="N14" i="3"/>
  <c r="N13" i="3"/>
  <c r="N12" i="3"/>
  <c r="N11" i="3"/>
  <c r="N10" i="3"/>
  <c r="N9" i="3"/>
  <c r="N8" i="3"/>
  <c r="N7" i="3"/>
  <c r="N6" i="3"/>
  <c r="C49" i="2"/>
  <c r="J14" i="2"/>
  <c r="J13" i="2"/>
  <c r="J12" i="2"/>
  <c r="J11" i="2"/>
  <c r="J10" i="2"/>
  <c r="J9" i="2"/>
  <c r="J8" i="2"/>
  <c r="J7" i="2"/>
  <c r="J6" i="2"/>
  <c r="C43" i="3"/>
  <c r="K14" i="3"/>
  <c r="J14" i="3"/>
  <c r="H14" i="3"/>
  <c r="G14" i="3"/>
  <c r="L14" i="3" s="1"/>
  <c r="K13" i="3"/>
  <c r="J13" i="3"/>
  <c r="H13" i="3"/>
  <c r="G13" i="3"/>
  <c r="L13" i="3" s="1"/>
  <c r="K12" i="3"/>
  <c r="J12" i="3"/>
  <c r="H12" i="3"/>
  <c r="G12" i="3"/>
  <c r="L12" i="3" s="1"/>
  <c r="K11" i="3"/>
  <c r="J11" i="3"/>
  <c r="H11" i="3"/>
  <c r="G11" i="3"/>
  <c r="L11" i="3" s="1"/>
  <c r="K10" i="3"/>
  <c r="J10" i="3"/>
  <c r="H10" i="3"/>
  <c r="G10" i="3"/>
  <c r="L10" i="3" s="1"/>
  <c r="K9" i="3"/>
  <c r="J9" i="3"/>
  <c r="H9" i="3"/>
  <c r="G9" i="3"/>
  <c r="L9" i="3" s="1"/>
  <c r="K8" i="3"/>
  <c r="J8" i="3"/>
  <c r="H8" i="3"/>
  <c r="G8" i="3"/>
  <c r="L8" i="3" s="1"/>
  <c r="K7" i="3"/>
  <c r="J7" i="3"/>
  <c r="H7" i="3"/>
  <c r="G7" i="3"/>
  <c r="L7" i="3" s="1"/>
  <c r="K6" i="3"/>
  <c r="J6" i="3"/>
  <c r="H6" i="3"/>
  <c r="G6" i="3"/>
  <c r="L6" i="3" s="1"/>
  <c r="K5" i="3"/>
  <c r="J5" i="3"/>
  <c r="H5" i="3"/>
  <c r="G5" i="3"/>
  <c r="L5" i="3" s="1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C50" i="3" l="1"/>
  <c r="C39" i="2"/>
  <c r="C40" i="2"/>
  <c r="C41" i="2"/>
  <c r="C50" i="2"/>
  <c r="C51" i="3"/>
</calcChain>
</file>

<file path=xl/sharedStrings.xml><?xml version="1.0" encoding="utf-8"?>
<sst xmlns="http://schemas.openxmlformats.org/spreadsheetml/2006/main" count="90" uniqueCount="64">
  <si>
    <t>Messdaten-Auswertung — Reflexion und Brechung</t>
  </si>
  <si>
    <t>Gelb hinterlegte Zellen: hier tragt ihr eure Messwerte bzw. selbst berechnete Werte ein.</t>
  </si>
  <si>
    <t>Blau hinterlegte Zellen: werden automatisch berechnet, nicht überschreiben.</t>
  </si>
  <si>
    <t>Achtung: Stellt sicher, dass euer Taschenrechner beim Berechnen der sin-Werte auf DEG (Grad) und nicht auf RAD oder GRAD steht.</t>
  </si>
  <si>
    <t>Messdaten und Auswertung — Reflexion</t>
  </si>
  <si>
    <t>Montag Halbklasse — Messwerte Reflexionsgesetz</t>
  </si>
  <si>
    <t>Einfallswinkel
(°)</t>
  </si>
  <si>
    <t>Reflexionswinkel
links (°)</t>
  </si>
  <si>
    <t>Fehler
links (°)</t>
  </si>
  <si>
    <t>Reflexionswinkel
rechts (°)</t>
  </si>
  <si>
    <t>Fehler
rechts (°)</t>
  </si>
  <si>
    <t>Mittelwert
Reflexionswinkel (°)</t>
  </si>
  <si>
    <t>Fehler
Mittelwert (°)</t>
  </si>
  <si>
    <t>Diagramm mit automatischer Trendlinie (zum Vergleich mit eurer Handzeichnung):</t>
  </si>
  <si>
    <t>Eure Steigung k (aus Handzeichnung)</t>
  </si>
  <si>
    <t>gelb: eintragen</t>
  </si>
  <si>
    <t>Euer Achsenabschnitt d (aus Handzeichnung)</t>
  </si>
  <si>
    <t>Steigung k (Excel-Trendlinie)</t>
  </si>
  <si>
    <t>Achsenabschnitt d (Excel-Trendlinie)</t>
  </si>
  <si>
    <t>Standardfehler der Steigung (Excel, LINEST)</t>
  </si>
  <si>
    <t>Erwartete Steigung (Theorie: Reflexionsgesetz)</t>
  </si>
  <si>
    <t>N (Anzahl Punkte)</t>
  </si>
  <si>
    <t>Euer Ergebnis</t>
  </si>
  <si>
    <t>Messdaten und Auswertung — Brechung</t>
  </si>
  <si>
    <t>Montag Halbklasse — Messwerte Brechungsgesetz (Snellius)</t>
  </si>
  <si>
    <t>Einfallswinkel
α (°)</t>
  </si>
  <si>
    <t>sin(α)
(selbst berechnen)</t>
  </si>
  <si>
    <t>Brechungswinkel
links β₁ (°)</t>
  </si>
  <si>
    <t>Brechungswinkel
rechts β₂ (°)</t>
  </si>
  <si>
    <t>Mittelwert β
(°)</t>
  </si>
  <si>
    <t>sin(β)
(selbst berechnen)</t>
  </si>
  <si>
    <t>n = sin(α)/sin(β)</t>
  </si>
  <si>
    <t>Literaturwert n (Acrylglas)</t>
  </si>
  <si>
    <t>Eure Steigung k = n (aus Handzeichnung)</t>
  </si>
  <si>
    <t>Steigung k = n (Excel-Trendlinie)</t>
  </si>
  <si>
    <t>n aus Excel-Trendlinie (= Steigung direkt)</t>
  </si>
  <si>
    <t>blau: von Excel automatisch berechnet, nur ablesen</t>
  </si>
  <si>
    <t>Fehlerrechnung pro Messpunkt (Spalten H-J oben), dann Mittelung</t>
  </si>
  <si>
    <t>Vergleich Handzeichnung ↔ Excel-Trendlinie (Visualisierung)</t>
  </si>
  <si>
    <t>Δθ = ΔθSkala + ΔθStrahl (Summenregel, °)</t>
  </si>
  <si>
    <t>k̄ (Mittelwert eurer ki, 9 Punkte)</t>
  </si>
  <si>
    <t>Summe (Δki)² (automatisch)</t>
  </si>
  <si>
    <t>Δk̄ = (1/N) · √(Summe (Δki)²)</t>
  </si>
  <si>
    <t>Vergleicht k̄ ± Δk̄ mit der Theorie (k=1) und mit der Handgeraden/Excel-Trendlinie oben.</t>
  </si>
  <si>
    <t>ki = θr/θi (selbst berechnen)</t>
  </si>
  <si>
    <t>Δki (Quotientenregel, selbst berechnen)</t>
  </si>
  <si>
    <t>(Δki)² (automatisch)</t>
  </si>
  <si>
    <t>ΔθSkala: eure Schätzung (°)</t>
  </si>
  <si>
    <t>ΔθStrahl: eure Schätzung (°)</t>
  </si>
  <si>
    <t>Berechnet für jeden der 9 Punkte (ausser θi=0°) ki und Δki mit dem Taschenrechner und tragt sie oben in die Spalten H und I ein. (Δki)² und die Endresultate unten werden automatisch berechnet.</t>
  </si>
  <si>
    <t>Erwartete Steigung (Theorie, k=nLit)</t>
  </si>
  <si>
    <t>Fehlerrechnung pro Messpunkt (Spalten K-N oben), dann Mittelung</t>
  </si>
  <si>
    <t>Δ(sinα)i und Δ(sinβ)i werden oben in den Spalten K/L automatisch berechnet (mit eurem Δθ). Berechnet damit Δni von Hand (ausser beim Punkt α=0°) und tragt es oben in Spalte M ein. (Δni)² und die Summe unten werden automatisch berechnet.</t>
  </si>
  <si>
    <t>n̄ (Mittelwert eurer ni, automatisch aus Spalte J)</t>
  </si>
  <si>
    <t>Summe (Δni)² (automatisch)</t>
  </si>
  <si>
    <t>Δn̄ = (1/N) · √(Summe (Δni)²)</t>
  </si>
  <si>
    <t>Vergleicht n̄ ± Δn̄ mit dem Literaturwert und mit der Handgeraden/Excel-Trendlinie oben.</t>
  </si>
  <si>
    <t>Δ(sinα)i
(auto, Intervallmethode)</t>
  </si>
  <si>
    <t>Δ(sinβ)i
(auto, Intervallmethode)</t>
  </si>
  <si>
    <t>Δni (Quotientenregel, selbst berechnen)</t>
  </si>
  <si>
    <t>(Δni)² (automatisch)</t>
  </si>
  <si>
    <t>Grün hinterlegte Zellen: feste Vergleichs-/Theoriewerte (z.B. Literaturwert, erwartete Steigung, Anzahl Punkte N), nicht überschreiben.</t>
  </si>
  <si>
    <t>Blatt "Reflexion": Rohdaten eintragen, Handzeichnung mit der Excel-Trendlinie vergleichen, dann pro Messpunkt ki/Δki in den Spalten H-J berechnen und den Mittelwert k̄/Δk̄ eintragen.</t>
  </si>
  <si>
    <t>Blatt "Brechung": sin-Werte selbst berechnen und eintragen, Handzeichnung mit der Excel-Trendlinie vergleichen, dann pro Messpunkt Δni in Spalte M berechnen und den Mittelwert n̄/Δn̄ eintragen.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</si>
</sst>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"/>
    <numFmt numFmtId="167" formatCode="0.0000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b/>
      <sz val="13"/>
      <color rgb="FF1F5C99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b/>
      <sz val="9"/>
      <name val="Arial"/>
    </font>
    <font>
      <b/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4"/>
      <color rgb="FF1F5C99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5C99"/>
      </patternFill>
    </fill>
    <fill>
      <patternFill patternType="solid">
        <fgColor rgb="FFFFF6D9"/>
      </patternFill>
    </fill>
    <fill>
      <patternFill patternType="solid">
        <fgColor rgb="FFEAF1F8"/>
      </patternFill>
    </fill>
    <fill>
      <patternFill patternType="solid">
        <fgColor rgb="FFD9EAD3"/>
      </patternFill>
    </fill>
    <fill>
      <patternFill patternType="solid">
        <fgColor rgb="FFFFF6D9"/>
        <bgColor indexed="64"/>
      </patternFill>
    </fill>
    <fill>
      <patternFill patternType="solid">
        <fgColor rgb="FFEAF1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5C99"/>
        <bgColor indexed="64"/>
      </patternFill>
    </fill>
    <fill>
      <patternFill patternType="solid">
        <fgColor rgb="FFD9EAD3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BFBFBF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1" fillId="0" borderId="2" xfId="0" applyFont="1" applyBorder="1"/>
    <xf numFmtId="0" fontId="1" fillId="0" borderId="2" xfId="0" applyFont="1" applyBorder="1" applyAlignment="1">
      <alignment wrapText="1"/>
    </xf>
    <xf numFmtId="165" fontId="1" fillId="0" borderId="2" xfId="0" applyNumberFormat="1" applyFont="1" applyBorder="1"/>
    <xf numFmtId="167" fontId="1" fillId="3" borderId="1" xfId="0" applyNumberFormat="1" applyFont="1" applyFill="1" applyBorder="1"/>
    <xf numFmtId="167" fontId="1" fillId="4" borderId="1" xfId="0" applyNumberFormat="1" applyFont="1" applyFill="1" applyBorder="1"/>
    <xf numFmtId="167" fontId="1" fillId="5" borderId="1" xfId="0" applyNumberFormat="1" applyFont="1" applyFill="1" applyBorder="1"/>
    <xf numFmtId="166" fontId="1" fillId="0" borderId="2" xfId="0" applyNumberFormat="1" applyFont="1" applyBorder="1"/>
    <xf numFmtId="167" fontId="1" fillId="7" borderId="1" xfId="0" applyNumberFormat="1" applyFont="1" applyFill="1" applyBorder="1"/>
    <xf numFmtId="0" fontId="1" fillId="0" borderId="2" xfId="0" applyFont="1" applyBorder="1" applyAlignment="1">
      <alignment vertical="top" wrapText="1"/>
    </xf>
    <xf numFmtId="0" fontId="5" fillId="2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wrapText="1"/>
    </xf>
    <xf numFmtId="0" fontId="1" fillId="0" borderId="4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164" fontId="0" fillId="4" borderId="4" xfId="0" applyNumberFormat="1" applyFill="1" applyBorder="1" applyAlignment="1">
      <alignment horizontal="center"/>
    </xf>
    <xf numFmtId="0" fontId="0" fillId="8" borderId="4" xfId="0" applyFill="1" applyBorder="1"/>
    <xf numFmtId="0" fontId="0" fillId="6" borderId="4" xfId="0" applyFill="1" applyBorder="1"/>
    <xf numFmtId="0" fontId="0" fillId="7" borderId="4" xfId="0" applyFill="1" applyBorder="1"/>
    <xf numFmtId="0" fontId="4" fillId="0" borderId="9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167" fontId="1" fillId="5" borderId="12" xfId="0" applyNumberFormat="1" applyFont="1" applyFill="1" applyBorder="1"/>
    <xf numFmtId="0" fontId="1" fillId="0" borderId="13" xfId="0" applyFont="1" applyBorder="1" applyAlignment="1">
      <alignment vertical="top" wrapText="1"/>
    </xf>
    <xf numFmtId="167" fontId="1" fillId="3" borderId="12" xfId="0" applyNumberFormat="1" applyFont="1" applyFill="1" applyBorder="1"/>
    <xf numFmtId="0" fontId="4" fillId="0" borderId="13" xfId="0" applyFont="1" applyBorder="1" applyAlignment="1">
      <alignment vertical="top" wrapText="1"/>
    </xf>
    <xf numFmtId="0" fontId="1" fillId="0" borderId="14" xfId="0" applyFont="1" applyBorder="1"/>
    <xf numFmtId="0" fontId="5" fillId="2" borderId="15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vertical="center" wrapText="1"/>
    </xf>
    <xf numFmtId="0" fontId="7" fillId="0" borderId="15" xfId="0" applyFont="1" applyBorder="1" applyAlignment="1">
      <alignment wrapText="1"/>
    </xf>
    <xf numFmtId="0" fontId="1" fillId="0" borderId="15" xfId="0" applyFont="1" applyBorder="1" applyAlignment="1">
      <alignment horizontal="center"/>
    </xf>
    <xf numFmtId="165" fontId="0" fillId="3" borderId="15" xfId="0" applyNumberFormat="1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164" fontId="0" fillId="4" borderId="15" xfId="0" applyNumberFormat="1" applyFill="1" applyBorder="1" applyAlignment="1">
      <alignment horizontal="center"/>
    </xf>
    <xf numFmtId="165" fontId="0" fillId="4" borderId="15" xfId="0" applyNumberFormat="1" applyFill="1" applyBorder="1" applyAlignment="1">
      <alignment horizontal="center"/>
    </xf>
    <xf numFmtId="166" fontId="0" fillId="4" borderId="15" xfId="0" applyNumberFormat="1" applyFill="1" applyBorder="1"/>
    <xf numFmtId="0" fontId="0" fillId="8" borderId="15" xfId="0" applyFill="1" applyBorder="1"/>
    <xf numFmtId="0" fontId="0" fillId="6" borderId="15" xfId="0" applyFill="1" applyBorder="1"/>
    <xf numFmtId="0" fontId="0" fillId="7" borderId="15" xfId="0" applyFill="1" applyBorder="1"/>
    <xf numFmtId="165" fontId="1" fillId="0" borderId="14" xfId="0" applyNumberFormat="1" applyFont="1" applyBorder="1"/>
    <xf numFmtId="0" fontId="0" fillId="10" borderId="15" xfId="0" applyFill="1" applyBorder="1"/>
    <xf numFmtId="0" fontId="9" fillId="0" borderId="0" xfId="0" applyFont="1"/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8" fillId="9" borderId="5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7" xfId="0" applyFont="1" applyFill="1" applyBorder="1" applyAlignment="1">
      <alignment vertical="center"/>
    </xf>
    <xf numFmtId="0" fontId="1" fillId="0" borderId="8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14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Reflexion: Reflexionswinkel vs. Einfallswinkel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Messwerte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Reflexion!$A$5:$A$14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</c:numCache>
            </c:numRef>
          </c:xVal>
          <c:yVal>
            <c:numRef>
              <c:f>Reflexion!$F$5:$F$14</c:f>
              <c:numCache>
                <c:formatCode>0.0</c:formatCode>
                <c:ptCount val="10"/>
                <c:pt idx="0">
                  <c:v>0</c:v>
                </c:pt>
                <c:pt idx="1">
                  <c:v>10.5</c:v>
                </c:pt>
                <c:pt idx="2">
                  <c:v>20.5</c:v>
                </c:pt>
                <c:pt idx="3">
                  <c:v>30.5</c:v>
                </c:pt>
                <c:pt idx="4">
                  <c:v>40.5</c:v>
                </c:pt>
                <c:pt idx="5">
                  <c:v>50.5</c:v>
                </c:pt>
                <c:pt idx="6">
                  <c:v>60</c:v>
                </c:pt>
                <c:pt idx="7">
                  <c:v>70.5</c:v>
                </c:pt>
                <c:pt idx="8">
                  <c:v>80.5</c:v>
                </c:pt>
                <c:pt idx="9">
                  <c:v>89.5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03-4391-9E11-C70BFC4E6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95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Einfallswinkel (°)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95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Reflexionswinkel (°)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Brechung: sin(</a:t>
            </a:r>
            <a:r>
              <a:rPr lang="el-GR"/>
              <a:t>α) </a:t>
            </a:r>
            <a:r>
              <a:rPr lang="en-US"/>
              <a:t>ueber sin(</a:t>
            </a:r>
            <a:r>
              <a:rPr lang="el-GR"/>
              <a:t>β)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Messwerte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Brechung!$I$5:$I$14</c:f>
              <c:numCache>
                <c:formatCode>0.000</c:formatCode>
                <c:ptCount val="10"/>
                <c:pt idx="0">
                  <c:v>0</c:v>
                </c:pt>
                <c:pt idx="1">
                  <c:v>0.12186900000000001</c:v>
                </c:pt>
                <c:pt idx="2">
                  <c:v>0.23344500000000001</c:v>
                </c:pt>
                <c:pt idx="3">
                  <c:v>0.33380700000000002</c:v>
                </c:pt>
                <c:pt idx="4">
                  <c:v>0.43051099999999998</c:v>
                </c:pt>
                <c:pt idx="5">
                  <c:v>0.515038</c:v>
                </c:pt>
                <c:pt idx="6">
                  <c:v>0.58070299999999997</c:v>
                </c:pt>
                <c:pt idx="7">
                  <c:v>0.62931999999999999</c:v>
                </c:pt>
                <c:pt idx="8">
                  <c:v>0.66261999999999999</c:v>
                </c:pt>
                <c:pt idx="9">
                  <c:v>0.67559000000000002</c:v>
                </c:pt>
              </c:numCache>
            </c:numRef>
          </c:xVal>
          <c:yVal>
            <c:numRef>
              <c:f>Brechung!$B$5:$B$14</c:f>
              <c:numCache>
                <c:formatCode>0.000</c:formatCode>
                <c:ptCount val="10"/>
                <c:pt idx="0">
                  <c:v>0</c:v>
                </c:pt>
                <c:pt idx="1">
                  <c:v>0.1736</c:v>
                </c:pt>
                <c:pt idx="2">
                  <c:v>0.34200000000000003</c:v>
                </c:pt>
                <c:pt idx="3">
                  <c:v>0.5</c:v>
                </c:pt>
                <c:pt idx="4">
                  <c:v>0.64280000000000004</c:v>
                </c:pt>
                <c:pt idx="5">
                  <c:v>0.76600000000000001</c:v>
                </c:pt>
                <c:pt idx="6">
                  <c:v>0.86599999999999999</c:v>
                </c:pt>
                <c:pt idx="7">
                  <c:v>0.93969999999999998</c:v>
                </c:pt>
                <c:pt idx="8">
                  <c:v>0.98480000000000001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A2-49E9-8313-50AAD3713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0.8"/>
          <c:min val="0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sin(</a:t>
                </a:r>
                <a:r>
                  <a:rPr lang="el-GR"/>
                  <a:t>β)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.1000000000000001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sin(</a:t>
                </a:r>
                <a:r>
                  <a:rPr lang="el-GR"/>
                  <a:t>α)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6096000" cy="330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6096000" cy="330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showGridLines="0" workbookViewId="0"/>
  </sheetViews>
  <sheetFormatPr defaultRowHeight="14.25" x14ac:dyDescent="0.45"/>
  <cols>
    <col min="1" max="1" width="100" customWidth="1"/>
    <col min="2" max="2" width="3.59765625" customWidth="1"/>
  </cols>
  <sheetData>
    <row r="1" spans="1:2" ht="18" x14ac:dyDescent="0.55000000000000004">
      <c r="A1" s="42" t="s">
        <v>0</v>
      </c>
    </row>
    <row r="2" spans="1:2" ht="16.05" customHeight="1" x14ac:dyDescent="0.45">
      <c r="A2" s="43"/>
    </row>
    <row r="3" spans="1:2" ht="16.05" customHeight="1" x14ac:dyDescent="0.45">
      <c r="A3" s="43" t="s">
        <v>1</v>
      </c>
      <c r="B3" s="38"/>
    </row>
    <row r="4" spans="1:2" ht="16.05" customHeight="1" x14ac:dyDescent="0.45">
      <c r="A4" s="43" t="s">
        <v>2</v>
      </c>
      <c r="B4" s="39"/>
    </row>
    <row r="5" spans="1:2" ht="28.05" customHeight="1" x14ac:dyDescent="0.45">
      <c r="A5" s="43" t="s">
        <v>61</v>
      </c>
      <c r="B5" s="41"/>
    </row>
    <row r="6" spans="1:2" ht="16.05" customHeight="1" x14ac:dyDescent="0.45">
      <c r="A6" s="43"/>
    </row>
    <row r="7" spans="1:2" ht="28.05" customHeight="1" x14ac:dyDescent="0.45">
      <c r="A7" s="44" t="s">
        <v>3</v>
      </c>
    </row>
    <row r="8" spans="1:2" ht="16.05" customHeight="1" x14ac:dyDescent="0.45">
      <c r="A8" s="43"/>
    </row>
    <row r="9" spans="1:2" ht="28.05" customHeight="1" x14ac:dyDescent="0.45">
      <c r="A9" s="43" t="s">
        <v>62</v>
      </c>
    </row>
    <row r="10" spans="1:2" ht="28.05" customHeight="1" x14ac:dyDescent="0.45">
      <c r="A10" s="43" t="s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0"/>
  <sheetViews>
    <sheetView showGridLines="0" workbookViewId="0">
      <pane ySplit="4" topLeftCell="A5" activePane="bottomLeft" state="frozenSplit"/>
      <selection pane="bottomLeft"/>
    </sheetView>
  </sheetViews>
  <sheetFormatPr defaultRowHeight="14.25" x14ac:dyDescent="0.45"/>
  <cols>
    <col min="1" max="1" width="15" customWidth="1"/>
    <col min="2" max="3" width="13" customWidth="1"/>
    <col min="4" max="4" width="28.59765625" customWidth="1"/>
    <col min="5" max="7" width="13" customWidth="1"/>
    <col min="8" max="10" width="11.59765625" customWidth="1"/>
  </cols>
  <sheetData>
    <row r="1" spans="1:10" ht="16.899999999999999" x14ac:dyDescent="0.5">
      <c r="A1" s="1" t="s">
        <v>4</v>
      </c>
    </row>
    <row r="2" spans="1:10" x14ac:dyDescent="0.45">
      <c r="A2" s="2" t="s">
        <v>5</v>
      </c>
    </row>
    <row r="4" spans="1:10" ht="42" customHeight="1" x14ac:dyDescent="0.45">
      <c r="A4" s="13" t="s">
        <v>6</v>
      </c>
      <c r="B4" s="13" t="s">
        <v>7</v>
      </c>
      <c r="C4" s="13" t="s">
        <v>8</v>
      </c>
      <c r="D4" s="13" t="s">
        <v>9</v>
      </c>
      <c r="E4" s="13" t="s">
        <v>10</v>
      </c>
      <c r="F4" s="13" t="s">
        <v>11</v>
      </c>
      <c r="G4" s="13" t="s">
        <v>12</v>
      </c>
      <c r="H4" s="14" t="s">
        <v>44</v>
      </c>
      <c r="I4" s="14" t="s">
        <v>45</v>
      </c>
      <c r="J4" s="14" t="s">
        <v>46</v>
      </c>
    </row>
    <row r="5" spans="1:10" x14ac:dyDescent="0.45">
      <c r="A5" s="15">
        <v>0</v>
      </c>
      <c r="B5" s="16">
        <v>1</v>
      </c>
      <c r="C5" s="16"/>
      <c r="D5" s="16">
        <v>-1</v>
      </c>
      <c r="E5" s="16"/>
      <c r="F5" s="17">
        <f t="shared" ref="F5:F14" si="0">IF(AND(B5&lt;&gt;"",D5&lt;&gt;""),AVERAGE(B5,D5),"")</f>
        <v>0</v>
      </c>
      <c r="G5" s="17" t="str">
        <f t="shared" ref="G5:G14" si="1">IF(AND(C5&lt;&gt;"",E5&lt;&gt;""),(C5+E5)/2,"")</f>
        <v/>
      </c>
      <c r="H5" s="18"/>
      <c r="I5" s="18"/>
      <c r="J5" s="18"/>
    </row>
    <row r="6" spans="1:10" x14ac:dyDescent="0.45">
      <c r="A6" s="15">
        <v>10</v>
      </c>
      <c r="B6" s="16">
        <v>10</v>
      </c>
      <c r="C6" s="16"/>
      <c r="D6" s="16">
        <v>11</v>
      </c>
      <c r="E6" s="16"/>
      <c r="F6" s="17">
        <f t="shared" si="0"/>
        <v>10.5</v>
      </c>
      <c r="G6" s="17" t="str">
        <f t="shared" si="1"/>
        <v/>
      </c>
      <c r="H6" s="19">
        <v>1.05</v>
      </c>
      <c r="I6" s="19">
        <v>0.41</v>
      </c>
      <c r="J6" s="20">
        <f t="shared" ref="J6:J14" si="2">IF(I6&lt;&gt;"",I6^2,"")</f>
        <v>0.16809999999999997</v>
      </c>
    </row>
    <row r="7" spans="1:10" x14ac:dyDescent="0.45">
      <c r="A7" s="15">
        <v>20</v>
      </c>
      <c r="B7" s="16">
        <v>22</v>
      </c>
      <c r="C7" s="16"/>
      <c r="D7" s="16">
        <v>19</v>
      </c>
      <c r="E7" s="16"/>
      <c r="F7" s="17">
        <f t="shared" si="0"/>
        <v>20.5</v>
      </c>
      <c r="G7" s="17" t="str">
        <f t="shared" si="1"/>
        <v/>
      </c>
      <c r="H7" s="19">
        <v>1.0249999999999999</v>
      </c>
      <c r="I7" s="19">
        <v>0.20300000000000001</v>
      </c>
      <c r="J7" s="20">
        <f t="shared" si="2"/>
        <v>4.1209000000000003E-2</v>
      </c>
    </row>
    <row r="8" spans="1:10" x14ac:dyDescent="0.45">
      <c r="A8" s="15">
        <v>30</v>
      </c>
      <c r="B8" s="16">
        <v>30</v>
      </c>
      <c r="C8" s="16"/>
      <c r="D8" s="16">
        <v>31</v>
      </c>
      <c r="E8" s="16"/>
      <c r="F8" s="17">
        <f t="shared" si="0"/>
        <v>30.5</v>
      </c>
      <c r="G8" s="17" t="str">
        <f t="shared" si="1"/>
        <v/>
      </c>
      <c r="H8" s="19">
        <v>1.0169999999999999</v>
      </c>
      <c r="I8" s="19">
        <v>0.13400000000000001</v>
      </c>
      <c r="J8" s="20">
        <f t="shared" si="2"/>
        <v>1.7956000000000003E-2</v>
      </c>
    </row>
    <row r="9" spans="1:10" x14ac:dyDescent="0.45">
      <c r="A9" s="15">
        <v>40</v>
      </c>
      <c r="B9" s="16">
        <v>42</v>
      </c>
      <c r="C9" s="16"/>
      <c r="D9" s="16">
        <v>39</v>
      </c>
      <c r="E9" s="16"/>
      <c r="F9" s="17">
        <f t="shared" si="0"/>
        <v>40.5</v>
      </c>
      <c r="G9" s="17" t="str">
        <f t="shared" si="1"/>
        <v/>
      </c>
      <c r="H9" s="19">
        <v>1.0129999999999999</v>
      </c>
      <c r="I9" s="19">
        <v>0.10100000000000001</v>
      </c>
      <c r="J9" s="20">
        <f t="shared" si="2"/>
        <v>1.0201000000000002E-2</v>
      </c>
    </row>
    <row r="10" spans="1:10" x14ac:dyDescent="0.45">
      <c r="A10" s="15">
        <v>50</v>
      </c>
      <c r="B10" s="16">
        <v>49</v>
      </c>
      <c r="C10" s="16"/>
      <c r="D10" s="16">
        <v>52</v>
      </c>
      <c r="E10" s="16"/>
      <c r="F10" s="17">
        <f t="shared" si="0"/>
        <v>50.5</v>
      </c>
      <c r="G10" s="17" t="str">
        <f t="shared" si="1"/>
        <v/>
      </c>
      <c r="H10" s="19">
        <v>1.01</v>
      </c>
      <c r="I10" s="19">
        <v>0.08</v>
      </c>
      <c r="J10" s="20">
        <f t="shared" si="2"/>
        <v>6.4000000000000003E-3</v>
      </c>
    </row>
    <row r="11" spans="1:10" x14ac:dyDescent="0.45">
      <c r="A11" s="15">
        <v>60</v>
      </c>
      <c r="B11" s="16">
        <v>61</v>
      </c>
      <c r="C11" s="16"/>
      <c r="D11" s="16">
        <v>59</v>
      </c>
      <c r="E11" s="16"/>
      <c r="F11" s="17">
        <f t="shared" si="0"/>
        <v>60</v>
      </c>
      <c r="G11" s="17" t="str">
        <f t="shared" si="1"/>
        <v/>
      </c>
      <c r="H11" s="19">
        <v>1</v>
      </c>
      <c r="I11" s="19">
        <v>6.7000000000000004E-2</v>
      </c>
      <c r="J11" s="20">
        <f t="shared" si="2"/>
        <v>4.4890000000000008E-3</v>
      </c>
    </row>
    <row r="12" spans="1:10" x14ac:dyDescent="0.45">
      <c r="A12" s="15">
        <v>70</v>
      </c>
      <c r="B12" s="16">
        <v>70</v>
      </c>
      <c r="C12" s="16"/>
      <c r="D12" s="16">
        <v>71</v>
      </c>
      <c r="E12" s="16"/>
      <c r="F12" s="17">
        <f t="shared" si="0"/>
        <v>70.5</v>
      </c>
      <c r="G12" s="17" t="str">
        <f t="shared" si="1"/>
        <v/>
      </c>
      <c r="H12" s="19">
        <v>1.0069999999999999</v>
      </c>
      <c r="I12" s="19">
        <v>5.7000000000000002E-2</v>
      </c>
      <c r="J12" s="20">
        <f t="shared" si="2"/>
        <v>3.2490000000000002E-3</v>
      </c>
    </row>
    <row r="13" spans="1:10" x14ac:dyDescent="0.45">
      <c r="A13" s="15">
        <v>80</v>
      </c>
      <c r="B13" s="16">
        <v>82</v>
      </c>
      <c r="C13" s="16"/>
      <c r="D13" s="16">
        <v>79</v>
      </c>
      <c r="E13" s="16"/>
      <c r="F13" s="17">
        <f t="shared" si="0"/>
        <v>80.5</v>
      </c>
      <c r="G13" s="17" t="str">
        <f t="shared" si="1"/>
        <v/>
      </c>
      <c r="H13" s="19">
        <v>1.006</v>
      </c>
      <c r="I13" s="19">
        <v>0.05</v>
      </c>
      <c r="J13" s="20">
        <f t="shared" si="2"/>
        <v>2.5000000000000005E-3</v>
      </c>
    </row>
    <row r="14" spans="1:10" x14ac:dyDescent="0.45">
      <c r="A14" s="15">
        <v>90</v>
      </c>
      <c r="B14" s="16">
        <v>91</v>
      </c>
      <c r="C14" s="16"/>
      <c r="D14" s="16">
        <v>88</v>
      </c>
      <c r="E14" s="16"/>
      <c r="F14" s="17">
        <f t="shared" si="0"/>
        <v>89.5</v>
      </c>
      <c r="G14" s="17" t="str">
        <f t="shared" si="1"/>
        <v/>
      </c>
      <c r="H14" s="19">
        <v>0.99399999999999999</v>
      </c>
      <c r="I14" s="19">
        <v>4.3999999999999997E-2</v>
      </c>
      <c r="J14" s="20">
        <f t="shared" si="2"/>
        <v>1.9359999999999998E-3</v>
      </c>
    </row>
    <row r="16" spans="1:10" x14ac:dyDescent="0.45">
      <c r="A16" s="3" t="s">
        <v>13</v>
      </c>
    </row>
    <row r="36" spans="1:6" ht="20" customHeight="1" x14ac:dyDescent="0.45">
      <c r="A36" s="45" t="s">
        <v>38</v>
      </c>
      <c r="B36" s="46"/>
      <c r="C36" s="46"/>
      <c r="D36" s="47"/>
      <c r="E36" s="4"/>
      <c r="F36" s="4"/>
    </row>
    <row r="37" spans="1:6" ht="25.5" customHeight="1" x14ac:dyDescent="0.45">
      <c r="A37" s="48" t="s">
        <v>14</v>
      </c>
      <c r="B37" s="49"/>
      <c r="C37" s="7">
        <v>1.02</v>
      </c>
      <c r="D37" s="21" t="s">
        <v>15</v>
      </c>
      <c r="E37" s="4"/>
      <c r="F37" s="4"/>
    </row>
    <row r="38" spans="1:6" ht="25.5" customHeight="1" x14ac:dyDescent="0.45">
      <c r="A38" s="48" t="s">
        <v>16</v>
      </c>
      <c r="B38" s="49"/>
      <c r="C38" s="7">
        <v>0.3</v>
      </c>
      <c r="D38" s="21" t="s">
        <v>15</v>
      </c>
      <c r="E38" s="4"/>
      <c r="F38" s="4"/>
    </row>
    <row r="39" spans="1:6" ht="14.35" customHeight="1" x14ac:dyDescent="0.45">
      <c r="A39" s="48" t="s">
        <v>17</v>
      </c>
      <c r="B39" s="49"/>
      <c r="C39" s="8">
        <f>IF(COUNT(F5:F14)=10,SLOPE(F5:F14,A5:A14),"")</f>
        <v>0.99636363636363634</v>
      </c>
      <c r="D39" s="22"/>
      <c r="E39" s="4"/>
      <c r="F39" s="4"/>
    </row>
    <row r="40" spans="1:6" ht="25.5" customHeight="1" x14ac:dyDescent="0.45">
      <c r="A40" s="48" t="s">
        <v>18</v>
      </c>
      <c r="B40" s="49"/>
      <c r="C40" s="8">
        <f>IF(COUNT(F5:F14)=10,INTERCEPT(F5:F14,A5:A14),"")</f>
        <v>0.46363636363636118</v>
      </c>
      <c r="D40" s="22"/>
      <c r="E40" s="4"/>
      <c r="F40" s="4"/>
    </row>
    <row r="41" spans="1:6" ht="25.5" customHeight="1" x14ac:dyDescent="0.45">
      <c r="A41" s="48" t="s">
        <v>19</v>
      </c>
      <c r="B41" s="49"/>
      <c r="C41" s="8">
        <f>IF(COUNT(F5:F14)=10,INDEX(LINEST(F5:F14,A5:A14,TRUE,TRUE),2,1),"")</f>
        <v>3.8747611674377382E-3</v>
      </c>
      <c r="D41" s="22"/>
      <c r="E41" s="4"/>
      <c r="F41" s="4"/>
    </row>
    <row r="42" spans="1:6" ht="25.5" customHeight="1" x14ac:dyDescent="0.45">
      <c r="A42" s="54" t="s">
        <v>20</v>
      </c>
      <c r="B42" s="55"/>
      <c r="C42" s="23">
        <v>1</v>
      </c>
      <c r="D42" s="24"/>
      <c r="E42" s="4"/>
      <c r="F42" s="4"/>
    </row>
    <row r="43" spans="1:6" x14ac:dyDescent="0.45">
      <c r="A43" s="5"/>
      <c r="B43" s="4"/>
      <c r="C43" s="6"/>
      <c r="D43" s="12"/>
      <c r="E43" s="4"/>
      <c r="F43" s="4"/>
    </row>
    <row r="44" spans="1:6" ht="20" customHeight="1" x14ac:dyDescent="0.45">
      <c r="A44" s="45" t="s">
        <v>37</v>
      </c>
      <c r="B44" s="46"/>
      <c r="C44" s="46"/>
      <c r="D44" s="47"/>
      <c r="E44" s="4"/>
      <c r="F44" s="4"/>
    </row>
    <row r="45" spans="1:6" ht="14.35" customHeight="1" x14ac:dyDescent="0.45">
      <c r="A45" s="48" t="s">
        <v>47</v>
      </c>
      <c r="B45" s="49"/>
      <c r="C45" s="7">
        <v>1</v>
      </c>
      <c r="D45" s="21" t="s">
        <v>15</v>
      </c>
      <c r="E45" s="4"/>
      <c r="F45" s="4"/>
    </row>
    <row r="46" spans="1:6" ht="14.35" customHeight="1" x14ac:dyDescent="0.45">
      <c r="A46" s="48" t="s">
        <v>48</v>
      </c>
      <c r="B46" s="49"/>
      <c r="C46" s="7">
        <v>1</v>
      </c>
      <c r="D46" s="21" t="s">
        <v>15</v>
      </c>
      <c r="E46" s="4"/>
      <c r="F46" s="4"/>
    </row>
    <row r="47" spans="1:6" ht="25.5" customHeight="1" x14ac:dyDescent="0.45">
      <c r="A47" s="48" t="s">
        <v>39</v>
      </c>
      <c r="B47" s="49"/>
      <c r="C47" s="7">
        <v>2</v>
      </c>
      <c r="D47" s="21" t="s">
        <v>15</v>
      </c>
      <c r="E47" s="4"/>
      <c r="F47" s="4"/>
    </row>
    <row r="48" spans="1:6" ht="70.05" customHeight="1" x14ac:dyDescent="0.45">
      <c r="A48" s="52" t="s">
        <v>49</v>
      </c>
      <c r="B48" s="53"/>
      <c r="C48" s="6"/>
      <c r="D48" s="22"/>
      <c r="E48" s="4"/>
      <c r="F48" s="4"/>
    </row>
    <row r="49" spans="1:6" ht="23.35" customHeight="1" x14ac:dyDescent="0.45">
      <c r="A49" s="48" t="s">
        <v>40</v>
      </c>
      <c r="B49" s="49"/>
      <c r="C49" s="11">
        <f>IF(COUNT(H6:H14)=9,AVERAGE(H6:H14),"")</f>
        <v>1.0135555555555555</v>
      </c>
      <c r="D49" s="21" t="s">
        <v>36</v>
      </c>
      <c r="E49" s="4"/>
      <c r="F49" s="4"/>
    </row>
    <row r="50" spans="1:6" ht="23.35" customHeight="1" x14ac:dyDescent="0.45">
      <c r="A50" s="48" t="s">
        <v>41</v>
      </c>
      <c r="B50" s="49"/>
      <c r="C50" s="11">
        <f>IF(COUNT(J6:J14)=9,SUM(J6:J14),"")</f>
        <v>0.25603999999999993</v>
      </c>
      <c r="D50" s="21" t="s">
        <v>36</v>
      </c>
      <c r="E50" s="4"/>
      <c r="F50" s="4"/>
    </row>
    <row r="51" spans="1:6" ht="14.35" customHeight="1" x14ac:dyDescent="0.45">
      <c r="A51" s="48" t="s">
        <v>21</v>
      </c>
      <c r="B51" s="49"/>
      <c r="C51" s="9">
        <v>9</v>
      </c>
      <c r="D51" s="22"/>
      <c r="E51" s="4"/>
      <c r="F51" s="4"/>
    </row>
    <row r="52" spans="1:6" ht="14.35" customHeight="1" x14ac:dyDescent="0.45">
      <c r="A52" s="54" t="s">
        <v>42</v>
      </c>
      <c r="B52" s="55"/>
      <c r="C52" s="25">
        <v>5.6000000000000001E-2</v>
      </c>
      <c r="D52" s="26" t="s">
        <v>15</v>
      </c>
      <c r="E52" s="4"/>
      <c r="F52" s="4"/>
    </row>
    <row r="53" spans="1:6" x14ac:dyDescent="0.45">
      <c r="A53" s="5"/>
      <c r="B53" s="4"/>
      <c r="C53" s="6"/>
      <c r="D53" s="12"/>
      <c r="E53" s="4"/>
      <c r="F53" s="4"/>
    </row>
    <row r="54" spans="1:6" ht="20" customHeight="1" x14ac:dyDescent="0.45">
      <c r="A54" s="45" t="s">
        <v>22</v>
      </c>
      <c r="B54" s="46"/>
      <c r="C54" s="46"/>
      <c r="D54" s="47"/>
      <c r="E54" s="4"/>
      <c r="F54" s="4"/>
    </row>
    <row r="55" spans="1:6" ht="35" customHeight="1" x14ac:dyDescent="0.45">
      <c r="A55" s="50" t="s">
        <v>43</v>
      </c>
      <c r="B55" s="51"/>
      <c r="C55" s="27"/>
      <c r="D55" s="24"/>
      <c r="E55" s="4"/>
      <c r="F55" s="4"/>
    </row>
    <row r="56" spans="1:6" x14ac:dyDescent="0.45">
      <c r="A56" s="4"/>
      <c r="B56" s="4"/>
      <c r="C56" s="4"/>
      <c r="D56" s="4"/>
      <c r="E56" s="4"/>
      <c r="F56" s="4"/>
    </row>
    <row r="57" spans="1:6" x14ac:dyDescent="0.45">
      <c r="A57" s="4"/>
      <c r="B57" s="4"/>
      <c r="C57" s="4"/>
      <c r="D57" s="4"/>
      <c r="E57" s="4"/>
      <c r="F57" s="4"/>
    </row>
    <row r="58" spans="1:6" x14ac:dyDescent="0.45">
      <c r="A58" s="4"/>
      <c r="B58" s="4"/>
      <c r="C58" s="4"/>
      <c r="D58" s="4"/>
      <c r="E58" s="4"/>
      <c r="F58" s="4"/>
    </row>
    <row r="59" spans="1:6" x14ac:dyDescent="0.45">
      <c r="A59" s="4"/>
      <c r="B59" s="4"/>
      <c r="C59" s="4"/>
      <c r="D59" s="4"/>
      <c r="E59" s="4"/>
      <c r="F59" s="4"/>
    </row>
    <row r="60" spans="1:6" x14ac:dyDescent="0.45">
      <c r="A60" s="4"/>
      <c r="B60" s="4"/>
      <c r="C60" s="4"/>
      <c r="D60" s="4"/>
      <c r="E60" s="4"/>
      <c r="F60" s="4"/>
    </row>
    <row r="61" spans="1:6" x14ac:dyDescent="0.45">
      <c r="A61" s="4"/>
      <c r="B61" s="4"/>
      <c r="C61" s="4"/>
      <c r="D61" s="4"/>
      <c r="E61" s="4"/>
      <c r="F61" s="4"/>
    </row>
    <row r="62" spans="1:6" x14ac:dyDescent="0.45">
      <c r="A62" s="4"/>
      <c r="B62" s="4"/>
      <c r="C62" s="4"/>
      <c r="D62" s="4"/>
      <c r="E62" s="4"/>
      <c r="F62" s="4"/>
    </row>
    <row r="63" spans="1:6" x14ac:dyDescent="0.45">
      <c r="A63" s="4"/>
      <c r="B63" s="4"/>
      <c r="C63" s="4"/>
      <c r="D63" s="4"/>
      <c r="E63" s="4"/>
      <c r="F63" s="4"/>
    </row>
    <row r="64" spans="1:6" x14ac:dyDescent="0.45">
      <c r="A64" s="4"/>
      <c r="B64" s="4"/>
      <c r="C64" s="4"/>
      <c r="D64" s="4"/>
      <c r="E64" s="4"/>
      <c r="F64" s="4"/>
    </row>
    <row r="65" spans="1:6" x14ac:dyDescent="0.45">
      <c r="A65" s="4"/>
      <c r="B65" s="4"/>
      <c r="C65" s="4"/>
      <c r="D65" s="4"/>
      <c r="E65" s="4"/>
      <c r="F65" s="4"/>
    </row>
    <row r="66" spans="1:6" x14ac:dyDescent="0.45">
      <c r="A66" s="4"/>
      <c r="B66" s="4"/>
      <c r="C66" s="4"/>
      <c r="D66" s="4"/>
      <c r="E66" s="4"/>
      <c r="F66" s="4"/>
    </row>
    <row r="67" spans="1:6" x14ac:dyDescent="0.45">
      <c r="A67" s="4"/>
      <c r="B67" s="4"/>
      <c r="C67" s="4"/>
      <c r="D67" s="4"/>
      <c r="E67" s="4"/>
      <c r="F67" s="4"/>
    </row>
    <row r="68" spans="1:6" x14ac:dyDescent="0.45">
      <c r="A68" s="4"/>
      <c r="B68" s="4"/>
      <c r="C68" s="4"/>
      <c r="D68" s="4"/>
      <c r="E68" s="4"/>
      <c r="F68" s="4"/>
    </row>
    <row r="69" spans="1:6" x14ac:dyDescent="0.45">
      <c r="A69" s="4"/>
      <c r="B69" s="4"/>
      <c r="C69" s="4"/>
      <c r="D69" s="4"/>
      <c r="E69" s="4"/>
      <c r="F69" s="4"/>
    </row>
    <row r="70" spans="1:6" x14ac:dyDescent="0.45">
      <c r="A70" s="4"/>
      <c r="B70" s="4"/>
      <c r="C70" s="4"/>
      <c r="D70" s="4"/>
      <c r="E70" s="4"/>
      <c r="F70" s="4"/>
    </row>
    <row r="71" spans="1:6" x14ac:dyDescent="0.45">
      <c r="A71" s="4"/>
      <c r="B71" s="4"/>
      <c r="C71" s="4"/>
      <c r="D71" s="4"/>
      <c r="E71" s="4"/>
      <c r="F71" s="4"/>
    </row>
    <row r="72" spans="1:6" x14ac:dyDescent="0.45">
      <c r="A72" s="4"/>
      <c r="B72" s="4"/>
      <c r="C72" s="4"/>
      <c r="D72" s="4"/>
      <c r="E72" s="4"/>
      <c r="F72" s="4"/>
    </row>
    <row r="73" spans="1:6" x14ac:dyDescent="0.45">
      <c r="A73" s="4"/>
      <c r="B73" s="4"/>
      <c r="C73" s="4"/>
      <c r="D73" s="4"/>
      <c r="E73" s="4"/>
      <c r="F73" s="4"/>
    </row>
    <row r="74" spans="1:6" x14ac:dyDescent="0.45">
      <c r="A74" s="4"/>
      <c r="B74" s="4"/>
      <c r="C74" s="4"/>
      <c r="D74" s="4"/>
      <c r="E74" s="4"/>
      <c r="F74" s="4"/>
    </row>
    <row r="75" spans="1:6" x14ac:dyDescent="0.45">
      <c r="A75" s="4"/>
      <c r="B75" s="4"/>
      <c r="C75" s="4"/>
      <c r="D75" s="4"/>
      <c r="E75" s="4"/>
      <c r="F75" s="4"/>
    </row>
    <row r="76" spans="1:6" x14ac:dyDescent="0.45">
      <c r="A76" s="4"/>
      <c r="B76" s="4"/>
      <c r="C76" s="4"/>
      <c r="D76" s="4"/>
      <c r="E76" s="4"/>
      <c r="F76" s="4"/>
    </row>
    <row r="77" spans="1:6" x14ac:dyDescent="0.45">
      <c r="A77" s="4"/>
      <c r="B77" s="4"/>
      <c r="C77" s="4"/>
      <c r="D77" s="4"/>
      <c r="E77" s="4"/>
      <c r="F77" s="4"/>
    </row>
    <row r="78" spans="1:6" x14ac:dyDescent="0.45">
      <c r="A78" s="4"/>
      <c r="B78" s="4"/>
      <c r="C78" s="4"/>
      <c r="D78" s="4"/>
      <c r="E78" s="4"/>
      <c r="F78" s="4"/>
    </row>
    <row r="79" spans="1:6" x14ac:dyDescent="0.45">
      <c r="A79" s="4"/>
      <c r="B79" s="4"/>
      <c r="C79" s="4"/>
      <c r="D79" s="4"/>
      <c r="E79" s="4"/>
      <c r="F79" s="4"/>
    </row>
    <row r="80" spans="1:6" x14ac:dyDescent="0.45">
      <c r="A80" s="4"/>
      <c r="B80" s="4"/>
      <c r="C80" s="4"/>
      <c r="D80" s="4"/>
      <c r="E80" s="4"/>
      <c r="F80" s="4"/>
    </row>
    <row r="81" spans="1:6" x14ac:dyDescent="0.45">
      <c r="A81" s="4"/>
      <c r="B81" s="4"/>
      <c r="C81" s="4"/>
      <c r="D81" s="4"/>
      <c r="E81" s="4"/>
      <c r="F81" s="4"/>
    </row>
    <row r="82" spans="1:6" x14ac:dyDescent="0.45">
      <c r="A82" s="4"/>
      <c r="B82" s="4"/>
      <c r="C82" s="4"/>
      <c r="D82" s="4"/>
      <c r="E82" s="4"/>
      <c r="F82" s="4"/>
    </row>
    <row r="83" spans="1:6" x14ac:dyDescent="0.45">
      <c r="A83" s="4"/>
      <c r="B83" s="4"/>
      <c r="C83" s="4"/>
      <c r="D83" s="4"/>
      <c r="E83" s="4"/>
      <c r="F83" s="4"/>
    </row>
    <row r="84" spans="1:6" x14ac:dyDescent="0.45">
      <c r="A84" s="4"/>
      <c r="B84" s="4"/>
      <c r="C84" s="4"/>
      <c r="D84" s="4"/>
      <c r="E84" s="4"/>
      <c r="F84" s="4"/>
    </row>
    <row r="85" spans="1:6" x14ac:dyDescent="0.45">
      <c r="A85" s="4"/>
      <c r="B85" s="4"/>
      <c r="C85" s="4"/>
      <c r="D85" s="4"/>
      <c r="E85" s="4"/>
      <c r="F85" s="4"/>
    </row>
    <row r="86" spans="1:6" x14ac:dyDescent="0.45">
      <c r="A86" s="4"/>
      <c r="B86" s="4"/>
      <c r="C86" s="4"/>
      <c r="D86" s="4"/>
      <c r="E86" s="4"/>
      <c r="F86" s="4"/>
    </row>
    <row r="87" spans="1:6" x14ac:dyDescent="0.45">
      <c r="A87" s="4"/>
      <c r="B87" s="4"/>
      <c r="C87" s="4"/>
      <c r="D87" s="4"/>
      <c r="E87" s="4"/>
      <c r="F87" s="4"/>
    </row>
    <row r="88" spans="1:6" x14ac:dyDescent="0.45">
      <c r="A88" s="4"/>
      <c r="B88" s="4"/>
      <c r="C88" s="4"/>
      <c r="D88" s="4"/>
      <c r="E88" s="4"/>
      <c r="F88" s="4"/>
    </row>
    <row r="89" spans="1:6" x14ac:dyDescent="0.45">
      <c r="A89" s="4"/>
      <c r="B89" s="4"/>
      <c r="C89" s="4"/>
      <c r="D89" s="4"/>
      <c r="E89" s="4"/>
      <c r="F89" s="4"/>
    </row>
    <row r="90" spans="1:6" x14ac:dyDescent="0.45">
      <c r="A90" s="4"/>
      <c r="B90" s="4"/>
      <c r="C90" s="4"/>
      <c r="D90" s="4"/>
      <c r="E90" s="4"/>
      <c r="F90" s="4"/>
    </row>
  </sheetData>
  <mergeCells count="18">
    <mergeCell ref="A36:D36"/>
    <mergeCell ref="A41:B41"/>
    <mergeCell ref="A37:B37"/>
    <mergeCell ref="A38:B38"/>
    <mergeCell ref="A39:B39"/>
    <mergeCell ref="A40:B40"/>
    <mergeCell ref="A55:B55"/>
    <mergeCell ref="A42:B42"/>
    <mergeCell ref="A45:B45"/>
    <mergeCell ref="A46:B46"/>
    <mergeCell ref="A47:B47"/>
    <mergeCell ref="A48:B48"/>
    <mergeCell ref="A49:B49"/>
    <mergeCell ref="A50:B50"/>
    <mergeCell ref="A51:B51"/>
    <mergeCell ref="A52:B52"/>
    <mergeCell ref="A44:D44"/>
    <mergeCell ref="A54:D5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0"/>
  <sheetViews>
    <sheetView showGridLines="0" tabSelected="1" workbookViewId="0">
      <pane ySplit="4" topLeftCell="A5" activePane="bottomLeft" state="frozenSplit"/>
      <selection pane="bottomLeft"/>
    </sheetView>
  </sheetViews>
  <sheetFormatPr defaultRowHeight="14.25" x14ac:dyDescent="0.45"/>
  <cols>
    <col min="1" max="1" width="15" customWidth="1"/>
    <col min="2" max="3" width="13" customWidth="1"/>
    <col min="4" max="4" width="28.59765625" customWidth="1"/>
    <col min="5" max="10" width="13" customWidth="1"/>
    <col min="11" max="12" width="16" customWidth="1"/>
    <col min="13" max="14" width="11.59765625" customWidth="1"/>
  </cols>
  <sheetData>
    <row r="1" spans="1:14" ht="16.899999999999999" x14ac:dyDescent="0.5">
      <c r="A1" s="1" t="s">
        <v>23</v>
      </c>
    </row>
    <row r="2" spans="1:14" x14ac:dyDescent="0.45">
      <c r="A2" s="2" t="s">
        <v>24</v>
      </c>
    </row>
    <row r="4" spans="1:14" ht="42" customHeight="1" x14ac:dyDescent="0.45">
      <c r="A4" s="28" t="s">
        <v>25</v>
      </c>
      <c r="B4" s="28" t="s">
        <v>26</v>
      </c>
      <c r="C4" s="28" t="s">
        <v>27</v>
      </c>
      <c r="D4" s="28" t="s">
        <v>8</v>
      </c>
      <c r="E4" s="28" t="s">
        <v>28</v>
      </c>
      <c r="F4" s="28" t="s">
        <v>10</v>
      </c>
      <c r="G4" s="28" t="s">
        <v>29</v>
      </c>
      <c r="H4" s="28" t="s">
        <v>12</v>
      </c>
      <c r="I4" s="28" t="s">
        <v>30</v>
      </c>
      <c r="J4" s="28" t="s">
        <v>31</v>
      </c>
      <c r="K4" s="29" t="s">
        <v>57</v>
      </c>
      <c r="L4" s="29" t="s">
        <v>58</v>
      </c>
      <c r="M4" s="30" t="s">
        <v>59</v>
      </c>
      <c r="N4" s="30" t="s">
        <v>60</v>
      </c>
    </row>
    <row r="5" spans="1:14" x14ac:dyDescent="0.45">
      <c r="A5" s="31">
        <v>0</v>
      </c>
      <c r="B5" s="32">
        <v>0</v>
      </c>
      <c r="C5" s="33">
        <v>1</v>
      </c>
      <c r="D5" s="33"/>
      <c r="E5" s="33">
        <v>-1</v>
      </c>
      <c r="F5" s="33"/>
      <c r="G5" s="34">
        <f t="shared" ref="G5:G14" si="0">IF(AND(C5&lt;&gt;"",E5&lt;&gt;""),AVERAGE(C5,E5),"")</f>
        <v>0</v>
      </c>
      <c r="H5" s="34" t="str">
        <f t="shared" ref="H5:H14" si="1">IF(AND(D5&lt;&gt;"",F5&lt;&gt;""),(D5+F5)/2,"")</f>
        <v/>
      </c>
      <c r="I5" s="32">
        <v>0</v>
      </c>
      <c r="J5" s="35" t="str">
        <f t="shared" ref="J5:J14" si="2">IF(AND(B5&lt;&gt;"",I5&lt;&gt;"",I5&lt;&gt;0),B5/I5,"")</f>
        <v/>
      </c>
      <c r="K5" s="36">
        <f t="shared" ref="K5:K14" si="3">ROUND((SIN(RADIANS(A5+$C$48))-SIN(RADIANS(A5-$C$48)))/2,5)</f>
        <v>3.49E-2</v>
      </c>
      <c r="L5" s="36">
        <f t="shared" ref="L5:L14" si="4">IF(G5="","",ROUND((SIN(RADIANS(G5+$C$48))-SIN(RADIANS(G5-$C$48)))/2,5))</f>
        <v>3.49E-2</v>
      </c>
      <c r="M5" s="37"/>
      <c r="N5" s="37"/>
    </row>
    <row r="6" spans="1:14" x14ac:dyDescent="0.45">
      <c r="A6" s="31">
        <v>10</v>
      </c>
      <c r="B6" s="32">
        <v>0.1736</v>
      </c>
      <c r="C6" s="33">
        <v>8</v>
      </c>
      <c r="D6" s="33"/>
      <c r="E6" s="33">
        <v>6</v>
      </c>
      <c r="F6" s="33"/>
      <c r="G6" s="34">
        <f t="shared" si="0"/>
        <v>7</v>
      </c>
      <c r="H6" s="34" t="str">
        <f t="shared" si="1"/>
        <v/>
      </c>
      <c r="I6" s="32">
        <v>0.12186900000000001</v>
      </c>
      <c r="J6" s="35">
        <f t="shared" si="2"/>
        <v>1.424480384675348</v>
      </c>
      <c r="K6" s="36">
        <f t="shared" si="3"/>
        <v>3.4369999999999998E-2</v>
      </c>
      <c r="L6" s="36">
        <f t="shared" si="4"/>
        <v>3.4639999999999997E-2</v>
      </c>
      <c r="M6" s="38">
        <v>0.68700000000000006</v>
      </c>
      <c r="N6" s="39">
        <f t="shared" ref="N6:N14" si="5">IF(M6&lt;&gt;"",M6^2,"")</f>
        <v>0.47196900000000008</v>
      </c>
    </row>
    <row r="7" spans="1:14" x14ac:dyDescent="0.45">
      <c r="A7" s="31">
        <v>20</v>
      </c>
      <c r="B7" s="32">
        <v>0.34200000000000003</v>
      </c>
      <c r="C7" s="33">
        <v>14</v>
      </c>
      <c r="D7" s="33"/>
      <c r="E7" s="33">
        <v>13</v>
      </c>
      <c r="F7" s="33"/>
      <c r="G7" s="34">
        <f t="shared" si="0"/>
        <v>13.5</v>
      </c>
      <c r="H7" s="34" t="str">
        <f t="shared" si="1"/>
        <v/>
      </c>
      <c r="I7" s="32">
        <v>0.23344500000000001</v>
      </c>
      <c r="J7" s="35">
        <f t="shared" si="2"/>
        <v>1.4650131722675577</v>
      </c>
      <c r="K7" s="36">
        <f t="shared" si="3"/>
        <v>3.279E-2</v>
      </c>
      <c r="L7" s="36">
        <f t="shared" si="4"/>
        <v>3.3939999999999998E-2</v>
      </c>
      <c r="M7" s="38">
        <v>0.35299999999999998</v>
      </c>
      <c r="N7" s="39">
        <f t="shared" si="5"/>
        <v>0.12460899999999998</v>
      </c>
    </row>
    <row r="8" spans="1:14" x14ac:dyDescent="0.45">
      <c r="A8" s="31">
        <v>30</v>
      </c>
      <c r="B8" s="32">
        <v>0.5</v>
      </c>
      <c r="C8" s="33">
        <v>20</v>
      </c>
      <c r="D8" s="33"/>
      <c r="E8" s="33">
        <v>19</v>
      </c>
      <c r="F8" s="33"/>
      <c r="G8" s="34">
        <f t="shared" si="0"/>
        <v>19.5</v>
      </c>
      <c r="H8" s="34" t="str">
        <f t="shared" si="1"/>
        <v/>
      </c>
      <c r="I8" s="32">
        <v>0.33380700000000002</v>
      </c>
      <c r="J8" s="35">
        <f t="shared" si="2"/>
        <v>1.497871524563595</v>
      </c>
      <c r="K8" s="36">
        <f t="shared" si="3"/>
        <v>3.022E-2</v>
      </c>
      <c r="L8" s="36">
        <f t="shared" si="4"/>
        <v>3.2899999999999999E-2</v>
      </c>
      <c r="M8" s="38">
        <v>0.23799999999999999</v>
      </c>
      <c r="N8" s="39">
        <f t="shared" si="5"/>
        <v>5.6643999999999993E-2</v>
      </c>
    </row>
    <row r="9" spans="1:14" x14ac:dyDescent="0.45">
      <c r="A9" s="31">
        <v>40</v>
      </c>
      <c r="B9" s="32">
        <v>0.64280000000000004</v>
      </c>
      <c r="C9" s="33">
        <v>26</v>
      </c>
      <c r="D9" s="33"/>
      <c r="E9" s="33">
        <v>25</v>
      </c>
      <c r="F9" s="33"/>
      <c r="G9" s="34">
        <f t="shared" si="0"/>
        <v>25.5</v>
      </c>
      <c r="H9" s="34" t="str">
        <f t="shared" si="1"/>
        <v/>
      </c>
      <c r="I9" s="32">
        <v>0.43051099999999998</v>
      </c>
      <c r="J9" s="35">
        <f t="shared" si="2"/>
        <v>1.4931093514451432</v>
      </c>
      <c r="K9" s="36">
        <f t="shared" si="3"/>
        <v>2.673E-2</v>
      </c>
      <c r="L9" s="36">
        <f t="shared" si="4"/>
        <v>3.15E-2</v>
      </c>
      <c r="M9" s="38">
        <v>0.17100000000000001</v>
      </c>
      <c r="N9" s="39">
        <f t="shared" si="5"/>
        <v>2.9241000000000003E-2</v>
      </c>
    </row>
    <row r="10" spans="1:14" x14ac:dyDescent="0.45">
      <c r="A10" s="31">
        <v>50</v>
      </c>
      <c r="B10" s="32">
        <v>0.76600000000000001</v>
      </c>
      <c r="C10" s="33">
        <v>32</v>
      </c>
      <c r="D10" s="33"/>
      <c r="E10" s="33">
        <v>30</v>
      </c>
      <c r="F10" s="33"/>
      <c r="G10" s="34">
        <f t="shared" si="0"/>
        <v>31</v>
      </c>
      <c r="H10" s="34" t="str">
        <f t="shared" si="1"/>
        <v/>
      </c>
      <c r="I10" s="32">
        <v>0.515038</v>
      </c>
      <c r="J10" s="35">
        <f t="shared" si="2"/>
        <v>1.4872689005471442</v>
      </c>
      <c r="K10" s="36">
        <f t="shared" si="3"/>
        <v>2.2429999999999999E-2</v>
      </c>
      <c r="L10" s="36">
        <f t="shared" si="4"/>
        <v>2.9909999999999999E-2</v>
      </c>
      <c r="M10" s="38">
        <v>0.13</v>
      </c>
      <c r="N10" s="39">
        <f t="shared" si="5"/>
        <v>1.6900000000000002E-2</v>
      </c>
    </row>
    <row r="11" spans="1:14" x14ac:dyDescent="0.45">
      <c r="A11" s="31">
        <v>60</v>
      </c>
      <c r="B11" s="32">
        <v>0.86599999999999999</v>
      </c>
      <c r="C11" s="33">
        <v>36</v>
      </c>
      <c r="D11" s="33"/>
      <c r="E11" s="33">
        <v>35</v>
      </c>
      <c r="F11" s="33"/>
      <c r="G11" s="34">
        <f t="shared" si="0"/>
        <v>35.5</v>
      </c>
      <c r="H11" s="34" t="str">
        <f t="shared" si="1"/>
        <v/>
      </c>
      <c r="I11" s="32">
        <v>0.58070299999999997</v>
      </c>
      <c r="J11" s="35">
        <f t="shared" si="2"/>
        <v>1.4912958948033677</v>
      </c>
      <c r="K11" s="36">
        <f t="shared" si="3"/>
        <v>1.745E-2</v>
      </c>
      <c r="L11" s="36">
        <f t="shared" si="4"/>
        <v>2.8410000000000001E-2</v>
      </c>
      <c r="M11" s="38">
        <v>0.10299999999999999</v>
      </c>
      <c r="N11" s="39">
        <f t="shared" si="5"/>
        <v>1.0608999999999999E-2</v>
      </c>
    </row>
    <row r="12" spans="1:14" x14ac:dyDescent="0.45">
      <c r="A12" s="31">
        <v>70</v>
      </c>
      <c r="B12" s="32">
        <v>0.93969999999999998</v>
      </c>
      <c r="C12" s="33">
        <v>40</v>
      </c>
      <c r="D12" s="33"/>
      <c r="E12" s="33">
        <v>38</v>
      </c>
      <c r="F12" s="33"/>
      <c r="G12" s="34">
        <f t="shared" si="0"/>
        <v>39</v>
      </c>
      <c r="H12" s="34" t="str">
        <f t="shared" si="1"/>
        <v/>
      </c>
      <c r="I12" s="32">
        <v>0.62931999999999999</v>
      </c>
      <c r="J12" s="35">
        <f t="shared" si="2"/>
        <v>1.4931990084535689</v>
      </c>
      <c r="K12" s="36">
        <f t="shared" si="3"/>
        <v>1.1939999999999999E-2</v>
      </c>
      <c r="L12" s="36">
        <f t="shared" si="4"/>
        <v>2.7119999999999998E-2</v>
      </c>
      <c r="M12" s="38">
        <v>8.3000000000000004E-2</v>
      </c>
      <c r="N12" s="39">
        <f t="shared" si="5"/>
        <v>6.889000000000001E-3</v>
      </c>
    </row>
    <row r="13" spans="1:14" x14ac:dyDescent="0.45">
      <c r="A13" s="31">
        <v>80</v>
      </c>
      <c r="B13" s="32">
        <v>0.98480000000000001</v>
      </c>
      <c r="C13" s="33">
        <v>42</v>
      </c>
      <c r="D13" s="33"/>
      <c r="E13" s="33">
        <v>41</v>
      </c>
      <c r="F13" s="33"/>
      <c r="G13" s="34">
        <f t="shared" si="0"/>
        <v>41.5</v>
      </c>
      <c r="H13" s="34" t="str">
        <f t="shared" si="1"/>
        <v/>
      </c>
      <c r="I13" s="32">
        <v>0.66261999999999999</v>
      </c>
      <c r="J13" s="35">
        <f t="shared" si="2"/>
        <v>1.4862213636775226</v>
      </c>
      <c r="K13" s="36">
        <f t="shared" si="3"/>
        <v>6.0600000000000003E-3</v>
      </c>
      <c r="L13" s="36">
        <f t="shared" si="4"/>
        <v>2.614E-2</v>
      </c>
      <c r="M13" s="38">
        <v>6.8000000000000005E-2</v>
      </c>
      <c r="N13" s="39">
        <f t="shared" si="5"/>
        <v>4.6240000000000005E-3</v>
      </c>
    </row>
    <row r="14" spans="1:14" x14ac:dyDescent="0.45">
      <c r="A14" s="31">
        <v>90</v>
      </c>
      <c r="B14" s="32">
        <v>1</v>
      </c>
      <c r="C14" s="33">
        <v>43</v>
      </c>
      <c r="D14" s="33"/>
      <c r="E14" s="33">
        <v>42</v>
      </c>
      <c r="F14" s="33"/>
      <c r="G14" s="34">
        <f t="shared" si="0"/>
        <v>42.5</v>
      </c>
      <c r="H14" s="34" t="str">
        <f t="shared" si="1"/>
        <v/>
      </c>
      <c r="I14" s="32">
        <v>0.67559000000000002</v>
      </c>
      <c r="J14" s="35">
        <f t="shared" si="2"/>
        <v>1.4801876877988129</v>
      </c>
      <c r="K14" s="36">
        <f t="shared" si="3"/>
        <v>0</v>
      </c>
      <c r="L14" s="36">
        <f t="shared" si="4"/>
        <v>2.5729999999999999E-2</v>
      </c>
      <c r="M14" s="38">
        <v>5.6000000000000001E-2</v>
      </c>
      <c r="N14" s="39">
        <f t="shared" si="5"/>
        <v>3.1360000000000003E-3</v>
      </c>
    </row>
    <row r="16" spans="1:14" x14ac:dyDescent="0.45">
      <c r="A16" s="3" t="s">
        <v>13</v>
      </c>
    </row>
    <row r="36" spans="1:6" ht="20" customHeight="1" x14ac:dyDescent="0.45">
      <c r="A36" s="45" t="s">
        <v>38</v>
      </c>
      <c r="B36" s="46"/>
      <c r="C36" s="46"/>
      <c r="D36" s="47"/>
      <c r="E36" s="4"/>
      <c r="F36" s="4"/>
    </row>
    <row r="37" spans="1:6" ht="25.5" customHeight="1" x14ac:dyDescent="0.45">
      <c r="A37" s="48" t="s">
        <v>33</v>
      </c>
      <c r="B37" s="49"/>
      <c r="C37" s="7">
        <v>1.49</v>
      </c>
      <c r="D37" s="21" t="s">
        <v>15</v>
      </c>
      <c r="E37" s="4"/>
      <c r="F37" s="4"/>
    </row>
    <row r="38" spans="1:6" ht="25.5" customHeight="1" x14ac:dyDescent="0.45">
      <c r="A38" s="48" t="s">
        <v>16</v>
      </c>
      <c r="B38" s="49"/>
      <c r="C38" s="7">
        <v>0</v>
      </c>
      <c r="D38" s="21" t="s">
        <v>15</v>
      </c>
      <c r="E38" s="4"/>
      <c r="F38" s="4"/>
    </row>
    <row r="39" spans="1:6" ht="14.35" customHeight="1" x14ac:dyDescent="0.45">
      <c r="A39" s="48" t="s">
        <v>34</v>
      </c>
      <c r="B39" s="49"/>
      <c r="C39" s="8">
        <f>IF(COUNT(I5:I14)=10,SLOPE(B5:B14,I5:I14),"")</f>
        <v>1.4926114020679189</v>
      </c>
      <c r="D39" s="22"/>
      <c r="E39" s="4"/>
      <c r="F39" s="4"/>
    </row>
    <row r="40" spans="1:6" ht="25.5" customHeight="1" x14ac:dyDescent="0.45">
      <c r="A40" s="48" t="s">
        <v>18</v>
      </c>
      <c r="B40" s="49"/>
      <c r="C40" s="8">
        <f>IF(COUNT(I5:I14)=10,INTERCEPT(B5:B14,I5:I14),"")</f>
        <v>-2.854871154410521E-3</v>
      </c>
      <c r="D40" s="22"/>
      <c r="E40" s="4"/>
      <c r="F40" s="4"/>
    </row>
    <row r="41" spans="1:6" ht="25.5" customHeight="1" x14ac:dyDescent="0.45">
      <c r="A41" s="48" t="s">
        <v>19</v>
      </c>
      <c r="B41" s="49"/>
      <c r="C41" s="8">
        <f>IF(COUNT(I5:I14)=10,INDEX(LINEST(B5:B14,I5:I14,TRUE,TRUE),2,1),"")</f>
        <v>5.6148238463919085E-3</v>
      </c>
      <c r="D41" s="22"/>
      <c r="E41" s="4"/>
      <c r="F41" s="4"/>
    </row>
    <row r="42" spans="1:6" ht="25.5" customHeight="1" x14ac:dyDescent="0.45">
      <c r="A42" s="48" t="s">
        <v>35</v>
      </c>
      <c r="B42" s="49"/>
      <c r="C42" s="8">
        <f>C39</f>
        <v>1.4926114020679189</v>
      </c>
      <c r="D42" s="22"/>
      <c r="E42" s="4"/>
      <c r="F42" s="4"/>
    </row>
    <row r="43" spans="1:6" ht="25.5" customHeight="1" x14ac:dyDescent="0.45">
      <c r="A43" s="54" t="s">
        <v>50</v>
      </c>
      <c r="B43" s="55"/>
      <c r="C43" s="23">
        <f>1.49</f>
        <v>1.49</v>
      </c>
      <c r="D43" s="24"/>
      <c r="E43" s="4"/>
      <c r="F43" s="4"/>
    </row>
    <row r="44" spans="1:6" x14ac:dyDescent="0.45">
      <c r="A44" s="5"/>
      <c r="B44" s="4"/>
      <c r="C44" s="6"/>
      <c r="D44" s="12"/>
      <c r="E44" s="4"/>
      <c r="F44" s="4"/>
    </row>
    <row r="45" spans="1:6" ht="20" customHeight="1" x14ac:dyDescent="0.45">
      <c r="A45" s="45" t="s">
        <v>51</v>
      </c>
      <c r="B45" s="46"/>
      <c r="C45" s="46"/>
      <c r="D45" s="47"/>
      <c r="E45" s="4"/>
      <c r="F45" s="4"/>
    </row>
    <row r="46" spans="1:6" ht="14.35" customHeight="1" x14ac:dyDescent="0.45">
      <c r="A46" s="48" t="s">
        <v>47</v>
      </c>
      <c r="B46" s="49"/>
      <c r="C46" s="7">
        <v>1</v>
      </c>
      <c r="D46" s="21" t="s">
        <v>15</v>
      </c>
      <c r="E46" s="4"/>
      <c r="F46" s="4"/>
    </row>
    <row r="47" spans="1:6" ht="14.35" customHeight="1" x14ac:dyDescent="0.45">
      <c r="A47" s="48" t="s">
        <v>48</v>
      </c>
      <c r="B47" s="49"/>
      <c r="C47" s="7">
        <v>1</v>
      </c>
      <c r="D47" s="21" t="s">
        <v>15</v>
      </c>
      <c r="E47" s="4"/>
      <c r="F47" s="4"/>
    </row>
    <row r="48" spans="1:6" ht="25.5" customHeight="1" x14ac:dyDescent="0.45">
      <c r="A48" s="48" t="s">
        <v>39</v>
      </c>
      <c r="B48" s="49"/>
      <c r="C48" s="7">
        <v>2</v>
      </c>
      <c r="D48" s="21" t="s">
        <v>15</v>
      </c>
      <c r="E48" s="4"/>
      <c r="F48" s="4"/>
    </row>
    <row r="49" spans="1:6" ht="82.05" customHeight="1" x14ac:dyDescent="0.45">
      <c r="A49" s="52" t="s">
        <v>52</v>
      </c>
      <c r="B49" s="53"/>
      <c r="C49" s="6"/>
      <c r="D49" s="22"/>
      <c r="E49" s="4"/>
      <c r="F49" s="4"/>
    </row>
    <row r="50" spans="1:6" ht="25.5" customHeight="1" x14ac:dyDescent="0.45">
      <c r="A50" s="48" t="s">
        <v>53</v>
      </c>
      <c r="B50" s="49"/>
      <c r="C50" s="8">
        <f>IF(COUNT(J6:J14)=9,AVERAGE(J6:J14),"")</f>
        <v>1.4798496986924512</v>
      </c>
      <c r="D50" s="22"/>
      <c r="E50" s="4"/>
      <c r="F50" s="4"/>
    </row>
    <row r="51" spans="1:6" ht="23.35" customHeight="1" x14ac:dyDescent="0.45">
      <c r="A51" s="48" t="s">
        <v>54</v>
      </c>
      <c r="B51" s="49"/>
      <c r="C51" s="11">
        <f>IF(COUNT(N6:N14)=9,SUM(N6:N14),"")</f>
        <v>0.72462100000000007</v>
      </c>
      <c r="D51" s="21" t="s">
        <v>36</v>
      </c>
      <c r="E51" s="4"/>
      <c r="F51" s="4"/>
    </row>
    <row r="52" spans="1:6" ht="14.35" customHeight="1" x14ac:dyDescent="0.45">
      <c r="A52" s="48" t="s">
        <v>21</v>
      </c>
      <c r="B52" s="49"/>
      <c r="C52" s="9">
        <v>9</v>
      </c>
      <c r="D52" s="22"/>
      <c r="E52" s="4"/>
      <c r="F52" s="4"/>
    </row>
    <row r="53" spans="1:6" ht="14.35" customHeight="1" x14ac:dyDescent="0.45">
      <c r="A53" s="54" t="s">
        <v>55</v>
      </c>
      <c r="B53" s="55"/>
      <c r="C53" s="25">
        <v>9.5000000000000001E-2</v>
      </c>
      <c r="D53" s="26" t="s">
        <v>15</v>
      </c>
      <c r="E53" s="4"/>
      <c r="F53" s="4"/>
    </row>
    <row r="54" spans="1:6" x14ac:dyDescent="0.45">
      <c r="A54" s="5"/>
      <c r="B54" s="4"/>
      <c r="C54" s="6"/>
      <c r="D54" s="12"/>
      <c r="E54" s="4"/>
      <c r="F54" s="4"/>
    </row>
    <row r="55" spans="1:6" ht="20" customHeight="1" x14ac:dyDescent="0.45">
      <c r="A55" s="45" t="s">
        <v>22</v>
      </c>
      <c r="B55" s="46"/>
      <c r="C55" s="46"/>
      <c r="D55" s="47"/>
      <c r="E55" s="4"/>
      <c r="F55" s="4"/>
    </row>
    <row r="56" spans="1:6" ht="14.35" customHeight="1" x14ac:dyDescent="0.45">
      <c r="A56" s="48" t="s">
        <v>32</v>
      </c>
      <c r="B56" s="49"/>
      <c r="C56" s="9">
        <v>1.49</v>
      </c>
      <c r="D56" s="22"/>
      <c r="E56" s="4"/>
      <c r="F56" s="4"/>
    </row>
    <row r="57" spans="1:6" ht="35" customHeight="1" x14ac:dyDescent="0.45">
      <c r="A57" s="50" t="s">
        <v>56</v>
      </c>
      <c r="B57" s="51"/>
      <c r="C57" s="40"/>
      <c r="D57" s="24"/>
      <c r="E57" s="4"/>
      <c r="F57" s="4"/>
    </row>
    <row r="58" spans="1:6" ht="26" customHeight="1" x14ac:dyDescent="0.45">
      <c r="A58" s="5"/>
      <c r="B58" s="4"/>
      <c r="C58" s="6"/>
      <c r="D58" s="4"/>
      <c r="E58" s="4"/>
      <c r="F58" s="4"/>
    </row>
    <row r="59" spans="1:6" ht="26" customHeight="1" x14ac:dyDescent="0.45">
      <c r="A59" s="5"/>
      <c r="B59" s="4"/>
      <c r="C59" s="6"/>
      <c r="D59" s="4"/>
      <c r="E59" s="4"/>
      <c r="F59" s="4"/>
    </row>
    <row r="60" spans="1:6" ht="26" customHeight="1" x14ac:dyDescent="0.45">
      <c r="A60" s="5"/>
      <c r="B60" s="4"/>
      <c r="C60" s="6"/>
      <c r="D60" s="4"/>
      <c r="E60" s="4"/>
      <c r="F60" s="4"/>
    </row>
    <row r="61" spans="1:6" ht="26" customHeight="1" x14ac:dyDescent="0.45">
      <c r="A61" s="5"/>
      <c r="B61" s="4"/>
      <c r="C61" s="6"/>
      <c r="D61" s="4"/>
      <c r="E61" s="4"/>
      <c r="F61" s="4"/>
    </row>
    <row r="62" spans="1:6" ht="26" customHeight="1" x14ac:dyDescent="0.45">
      <c r="A62" s="5"/>
      <c r="B62" s="4"/>
      <c r="C62" s="6"/>
      <c r="D62" s="4"/>
      <c r="E62" s="4"/>
      <c r="F62" s="4"/>
    </row>
    <row r="63" spans="1:6" ht="26" customHeight="1" x14ac:dyDescent="0.45">
      <c r="A63" s="5"/>
      <c r="B63" s="4"/>
      <c r="C63" s="6"/>
      <c r="D63" s="4"/>
      <c r="E63" s="4"/>
      <c r="F63" s="4"/>
    </row>
    <row r="64" spans="1:6" x14ac:dyDescent="0.45">
      <c r="A64" s="4"/>
      <c r="B64" s="4"/>
      <c r="C64" s="4"/>
      <c r="D64" s="4"/>
      <c r="E64" s="4"/>
      <c r="F64" s="4"/>
    </row>
    <row r="65" spans="1:6" x14ac:dyDescent="0.45">
      <c r="A65" s="4"/>
      <c r="B65" s="4"/>
      <c r="C65" s="4"/>
      <c r="D65" s="4"/>
      <c r="E65" s="4"/>
      <c r="F65" s="4"/>
    </row>
    <row r="66" spans="1:6" x14ac:dyDescent="0.45">
      <c r="A66" s="5"/>
      <c r="B66" s="4"/>
      <c r="C66" s="4"/>
      <c r="D66" s="4"/>
      <c r="E66" s="4"/>
      <c r="F66" s="4"/>
    </row>
    <row r="67" spans="1:6" x14ac:dyDescent="0.45">
      <c r="A67" s="4"/>
      <c r="B67" s="4"/>
      <c r="C67" s="4"/>
      <c r="D67" s="4"/>
      <c r="E67" s="4"/>
      <c r="F67" s="4"/>
    </row>
    <row r="68" spans="1:6" x14ac:dyDescent="0.45">
      <c r="A68" s="4"/>
      <c r="B68" s="4"/>
      <c r="C68" s="4"/>
      <c r="D68" s="4"/>
      <c r="E68" s="4"/>
      <c r="F68" s="4"/>
    </row>
    <row r="69" spans="1:6" x14ac:dyDescent="0.45">
      <c r="A69" s="5"/>
      <c r="B69" s="4"/>
      <c r="C69" s="4"/>
      <c r="D69" s="4"/>
      <c r="E69" s="4"/>
      <c r="F69" s="4"/>
    </row>
    <row r="70" spans="1:6" ht="26" customHeight="1" x14ac:dyDescent="0.45">
      <c r="A70" s="5"/>
      <c r="B70" s="4"/>
      <c r="C70" s="10"/>
      <c r="D70" s="4"/>
      <c r="E70" s="4"/>
      <c r="F70" s="4"/>
    </row>
    <row r="71" spans="1:6" ht="26" customHeight="1" x14ac:dyDescent="0.45">
      <c r="A71" s="5"/>
      <c r="B71" s="4"/>
      <c r="C71" s="10"/>
      <c r="D71" s="4"/>
      <c r="E71" s="4"/>
      <c r="F71" s="4"/>
    </row>
    <row r="72" spans="1:6" ht="26" customHeight="1" x14ac:dyDescent="0.45">
      <c r="A72" s="5"/>
      <c r="B72" s="4"/>
      <c r="C72" s="10"/>
      <c r="D72" s="4"/>
      <c r="E72" s="4"/>
      <c r="F72" s="4"/>
    </row>
    <row r="73" spans="1:6" ht="26" customHeight="1" x14ac:dyDescent="0.45">
      <c r="A73" s="5"/>
      <c r="B73" s="4"/>
      <c r="C73" s="10"/>
      <c r="D73" s="4"/>
      <c r="E73" s="4"/>
      <c r="F73" s="4"/>
    </row>
    <row r="74" spans="1:6" ht="26" customHeight="1" x14ac:dyDescent="0.45">
      <c r="A74" s="5"/>
      <c r="B74" s="4"/>
      <c r="C74" s="10"/>
      <c r="D74" s="4"/>
      <c r="E74" s="4"/>
      <c r="F74" s="4"/>
    </row>
    <row r="75" spans="1:6" ht="26" customHeight="1" x14ac:dyDescent="0.45">
      <c r="A75" s="5"/>
      <c r="B75" s="4"/>
      <c r="C75" s="10"/>
      <c r="D75" s="4"/>
      <c r="E75" s="4"/>
      <c r="F75" s="4"/>
    </row>
    <row r="76" spans="1:6" x14ac:dyDescent="0.45">
      <c r="A76" s="4"/>
      <c r="B76" s="4"/>
      <c r="C76" s="4"/>
      <c r="D76" s="4"/>
      <c r="E76" s="4"/>
      <c r="F76" s="4"/>
    </row>
    <row r="77" spans="1:6" x14ac:dyDescent="0.45">
      <c r="A77" s="5"/>
      <c r="B77" s="4"/>
      <c r="C77" s="4"/>
      <c r="D77" s="4"/>
      <c r="E77" s="4"/>
      <c r="F77" s="4"/>
    </row>
    <row r="78" spans="1:6" x14ac:dyDescent="0.45">
      <c r="A78" s="4"/>
      <c r="B78" s="4"/>
      <c r="C78" s="4"/>
      <c r="D78" s="4"/>
      <c r="E78" s="4"/>
      <c r="F78" s="4"/>
    </row>
    <row r="79" spans="1:6" x14ac:dyDescent="0.45">
      <c r="A79" s="4"/>
      <c r="B79" s="4"/>
      <c r="C79" s="4"/>
      <c r="D79" s="4"/>
      <c r="E79" s="4"/>
      <c r="F79" s="4"/>
    </row>
    <row r="80" spans="1:6" x14ac:dyDescent="0.45">
      <c r="A80" s="4"/>
      <c r="B80" s="4"/>
      <c r="C80" s="4"/>
      <c r="D80" s="4"/>
      <c r="E80" s="4"/>
      <c r="F80" s="4"/>
    </row>
    <row r="81" spans="1:6" x14ac:dyDescent="0.45">
      <c r="A81" s="4"/>
      <c r="B81" s="4"/>
      <c r="C81" s="4"/>
      <c r="D81" s="4"/>
      <c r="E81" s="4"/>
      <c r="F81" s="4"/>
    </row>
    <row r="82" spans="1:6" x14ac:dyDescent="0.45">
      <c r="A82" s="4"/>
      <c r="B82" s="4"/>
      <c r="C82" s="4"/>
      <c r="D82" s="4"/>
      <c r="E82" s="4"/>
      <c r="F82" s="4"/>
    </row>
    <row r="83" spans="1:6" x14ac:dyDescent="0.45">
      <c r="A83" s="4"/>
      <c r="B83" s="4"/>
      <c r="C83" s="4"/>
      <c r="D83" s="4"/>
      <c r="E83" s="4"/>
      <c r="F83" s="4"/>
    </row>
    <row r="84" spans="1:6" x14ac:dyDescent="0.45">
      <c r="A84" s="4"/>
      <c r="B84" s="4"/>
      <c r="C84" s="4"/>
      <c r="D84" s="4"/>
      <c r="E84" s="4"/>
      <c r="F84" s="4"/>
    </row>
    <row r="85" spans="1:6" x14ac:dyDescent="0.45">
      <c r="A85" s="4"/>
      <c r="B85" s="4"/>
      <c r="C85" s="4"/>
      <c r="D85" s="4"/>
      <c r="E85" s="4"/>
      <c r="F85" s="4"/>
    </row>
    <row r="86" spans="1:6" x14ac:dyDescent="0.45">
      <c r="A86" s="4"/>
      <c r="B86" s="4"/>
      <c r="C86" s="4"/>
      <c r="D86" s="4"/>
      <c r="E86" s="4"/>
      <c r="F86" s="4"/>
    </row>
    <row r="87" spans="1:6" x14ac:dyDescent="0.45">
      <c r="A87" s="4"/>
      <c r="B87" s="4"/>
      <c r="C87" s="4"/>
      <c r="D87" s="4"/>
      <c r="E87" s="4"/>
      <c r="F87" s="4"/>
    </row>
    <row r="88" spans="1:6" x14ac:dyDescent="0.45">
      <c r="A88" s="4"/>
      <c r="B88" s="4"/>
      <c r="C88" s="4"/>
      <c r="D88" s="4"/>
      <c r="E88" s="4"/>
      <c r="F88" s="4"/>
    </row>
    <row r="89" spans="1:6" x14ac:dyDescent="0.45">
      <c r="A89" s="4"/>
      <c r="B89" s="4"/>
      <c r="C89" s="4"/>
      <c r="D89" s="4"/>
      <c r="E89" s="4"/>
      <c r="F89" s="4"/>
    </row>
    <row r="90" spans="1:6" x14ac:dyDescent="0.45">
      <c r="A90" s="4"/>
      <c r="B90" s="4"/>
      <c r="C90" s="4"/>
      <c r="D90" s="4"/>
      <c r="E90" s="4"/>
      <c r="F90" s="4"/>
    </row>
  </sheetData>
  <mergeCells count="20">
    <mergeCell ref="A42:B42"/>
    <mergeCell ref="A43:B43"/>
    <mergeCell ref="A46:B46"/>
    <mergeCell ref="A47:B47"/>
    <mergeCell ref="A36:D36"/>
    <mergeCell ref="A45:D45"/>
    <mergeCell ref="A56:B56"/>
    <mergeCell ref="A57:B57"/>
    <mergeCell ref="A49:B49"/>
    <mergeCell ref="A50:B50"/>
    <mergeCell ref="A51:B51"/>
    <mergeCell ref="A52:B52"/>
    <mergeCell ref="A53:B53"/>
    <mergeCell ref="A55:D55"/>
    <mergeCell ref="A48:B48"/>
    <mergeCell ref="A37:B37"/>
    <mergeCell ref="A38:B38"/>
    <mergeCell ref="A39:B39"/>
    <mergeCell ref="A40:B40"/>
    <mergeCell ref="A41:B4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Hinweise</vt:lpstr>
      <vt:lpstr>Reflexion</vt:lpstr>
      <vt:lpstr>Brechung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Loris Keller (KLW)</cp:lastModifiedBy>
  <dcterms:created xsi:type="dcterms:W3CDTF">2026-08-29T09:09:35Z</dcterms:created>
  <dcterms:modified xsi:type="dcterms:W3CDTF">2026-08-31T06:25:09Z</dcterms:modified>
</cp:coreProperties>
</file>